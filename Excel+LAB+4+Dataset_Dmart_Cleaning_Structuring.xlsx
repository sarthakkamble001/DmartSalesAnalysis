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D1F12615-E19C-4E8D-B918-3F9939495E3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Dmart_sales_dataset" sheetId="1" r:id="rId1"/>
    <sheet name="Sheet3" sheetId="3" r:id="rId2"/>
    <sheet name="Sheet4" sheetId="4" r:id="rId3"/>
    <sheet name="Sheet5" sheetId="5" r:id="rId4"/>
    <sheet name="Sheet6" sheetId="8" r:id="rId5"/>
    <sheet name="Sheet2" sheetId="6" r:id="rId6"/>
    <sheet name="Sheet1" sheetId="7" r:id="rId7"/>
  </sheets>
  <definedNames>
    <definedName name="_xlnm._FilterDatabase" localSheetId="6" hidden="1">Sheet1!$C$3:$C$11</definedName>
    <definedName name="Category">Dmart_sales_data[Category]</definedName>
    <definedName name="city">Dmart_sales_data[Updated_City]</definedName>
    <definedName name="customer_type">Dmart_sales_data[customer_type]</definedName>
    <definedName name="delivery_date">Dmart_sales_data[delivery_date]</definedName>
    <definedName name="discount">Dmart_sales_data[discount]</definedName>
    <definedName name="order_date">Dmart_sales_data[order_date]</definedName>
    <definedName name="order_id">Dmart_sales_data[Column1]</definedName>
    <definedName name="payment_mode">Dmart_sales_data[payment_mode]</definedName>
    <definedName name="Region">Dmart_sales_data[Updated region]</definedName>
    <definedName name="sales">Dmart_sales_data[sales]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I8" i="8" l="1"/>
  <c r="E16" i="8"/>
  <c r="F14" i="8"/>
  <c r="E14" i="8"/>
  <c r="H16" i="8"/>
  <c r="I13" i="8"/>
  <c r="J5" i="7"/>
  <c r="J8" i="8"/>
  <c r="I10" i="8"/>
  <c r="F9" i="8"/>
  <c r="F8" i="8"/>
  <c r="F7" i="8"/>
  <c r="F6" i="8"/>
  <c r="F5" i="8"/>
  <c r="W25" i="1" a="1"/>
  <c r="W25" i="1" s="1"/>
  <c r="W24" i="1"/>
  <c r="G5" i="7"/>
  <c r="G6" i="7"/>
  <c r="M30" i="5"/>
  <c r="W22" i="1" a="1"/>
  <c r="W22" i="1" s="1"/>
  <c r="W20" i="1" a="1"/>
  <c r="W20" i="1" s="1"/>
  <c r="W19" i="1" a="1"/>
  <c r="W19" i="1" s="1"/>
  <c r="W16" i="1" a="1"/>
  <c r="W16" i="1" s="1"/>
  <c r="W15" i="1" a="1"/>
  <c r="W15" i="1" s="1"/>
  <c r="W14" i="1" a="1"/>
  <c r="W14" i="1" s="1"/>
  <c r="W13" i="1" a="1"/>
  <c r="W13" i="1" s="1"/>
  <c r="W9" i="1" a="1"/>
  <c r="W9" i="1" s="1"/>
  <c r="W8" i="1" a="1"/>
  <c r="W8" i="1" s="1"/>
  <c r="W7" i="1" a="1"/>
  <c r="W7" i="1" s="1"/>
  <c r="W6" i="1" a="1"/>
  <c r="W6" i="1" s="1"/>
  <c r="T36" i="1" a="1"/>
  <c r="T36" i="1" s="1"/>
  <c r="T31" i="1" a="1"/>
  <c r="T31" i="1" s="1"/>
  <c r="T22" i="1" a="1"/>
  <c r="T22" i="1" s="1"/>
  <c r="T19" i="1"/>
  <c r="T13" i="1"/>
  <c r="T33" i="1" a="1"/>
  <c r="T33" i="1" s="1"/>
  <c r="T32" i="1" a="1"/>
  <c r="T32" i="1" s="1"/>
  <c r="T30" i="1" a="1"/>
  <c r="T30" i="1" s="1"/>
  <c r="T25" i="1" a="1"/>
  <c r="T25" i="1" s="1"/>
  <c r="T24" i="1" a="1"/>
  <c r="T24" i="1" s="1"/>
  <c r="T23" i="1" a="1"/>
  <c r="T23" i="1" s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<sst xmlns="http://schemas.openxmlformats.org/spreadsheetml/2006/main" count="4692" uniqueCount="686">
  <si>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</si>
  <si>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</si>
  <si>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</si>
  <si>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</si>
  <si>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</si>
  <si>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</si>
  <si>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</si>
  <si>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</si>
  <si>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</si>
  <si>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</si>
  <si>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</si>
  <si>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</si>
  <si>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</si>
  <si>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</si>
  <si>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</si>
  <si>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</si>
  <si>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</si>
  <si>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</si>
  <si>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</si>
  <si>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</si>
  <si>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</si>
  <si>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</si>
  <si>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</si>
  <si>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</si>
  <si>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</si>
  <si>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</si>
  <si>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</si>
  <si>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</si>
  <si>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</si>
  <si>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</si>
  <si>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</si>
  <si>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</si>
  <si>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</si>
  <si>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</si>
  <si>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</si>
  <si>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</si>
  <si>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</si>
  <si>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</si>
  <si>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</si>
  <si>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</si>
  <si>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</si>
  <si>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</si>
  <si>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</si>
  <si>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</si>
  <si>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</si>
  <si>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</si>
  <si>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</si>
  <si>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</si>
  <si>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</si>
  <si>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</si>
  <si>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</si>
  <si>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</si>
  <si>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</si>
  <si>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</si>
  <si>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</si>
  <si>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</si>
  <si>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</si>
  <si>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</si>
  <si>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</si>
  <si>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</si>
  <si>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</si>
  <si>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</si>
  <si>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</si>
  <si>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</si>
  <si>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</si>
  <si>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</si>
  <si>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</si>
  <si>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</si>
  <si>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</si>
  <si>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</si>
  <si>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</si>
  <si>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</si>
  <si>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</si>
  <si>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</si>
  <si>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</si>
  <si>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</si>
  <si>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</si>
  <si>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</si>
  <si>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</si>
  <si>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</si>
  <si>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</si>
  <si>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</si>
  <si>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</si>
  <si>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</si>
  <si>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</si>
  <si>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</si>
  <si>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</si>
  <si>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</si>
  <si>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</si>
  <si>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</si>
  <si>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</si>
  <si>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</si>
  <si>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</si>
  <si>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</si>
  <si>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</si>
  <si>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</si>
  <si>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</si>
  <si>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</si>
  <si>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</si>
  <si>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</si>
  <si>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</si>
  <si>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</si>
  <si>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</si>
  <si>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</si>
  <si>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</si>
  <si>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</si>
  <si>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</si>
  <si>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</si>
  <si>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</si>
  <si>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</si>
  <si>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</si>
  <si>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</si>
  <si>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</si>
  <si>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</si>
  <si>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</si>
  <si>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</si>
  <si>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</si>
  <si>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</si>
  <si>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</si>
  <si>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</si>
  <si>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</si>
  <si>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</si>
  <si>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</si>
  <si>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</si>
  <si>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</si>
  <si>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</si>
  <si>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</si>
  <si>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</si>
  <si>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</si>
  <si>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</si>
  <si>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</si>
  <si>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</si>
  <si>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</si>
  <si>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</si>
  <si>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</si>
  <si>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</si>
  <si>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</si>
  <si>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</si>
  <si>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</si>
  <si>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</si>
  <si>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</si>
  <si>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</si>
  <si>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</si>
  <si>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</si>
  <si>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</si>
  <si>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</si>
  <si>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</si>
  <si>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</si>
  <si>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</si>
  <si>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</si>
  <si>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</si>
  <si>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</si>
  <si>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</si>
  <si>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</si>
  <si>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</si>
  <si>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</si>
  <si>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</si>
  <si>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</si>
  <si>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</si>
  <si>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</si>
  <si>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</si>
  <si>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</si>
  <si>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</si>
  <si>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</si>
  <si>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</si>
  <si>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</si>
  <si>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</si>
  <si>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</si>
  <si>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</si>
  <si>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</si>
  <si>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</si>
  <si>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</si>
  <si>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</si>
  <si>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</si>
  <si>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</si>
  <si>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</si>
  <si>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</si>
  <si>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</si>
  <si>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</si>
  <si>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</si>
  <si>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</si>
  <si>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</si>
  <si>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</si>
  <si>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</si>
  <si>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</si>
  <si>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</si>
  <si>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</si>
  <si>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</si>
  <si>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</si>
  <si>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</si>
  <si>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</si>
  <si>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</si>
  <si>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</si>
  <si>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</si>
  <si>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</si>
  <si>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</si>
  <si>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</si>
  <si>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</si>
  <si>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</si>
  <si>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</si>
  <si>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</si>
  <si>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</si>
  <si>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</si>
  <si>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</si>
  <si>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</si>
  <si>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</si>
  <si>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</si>
  <si>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</si>
  <si>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</si>
  <si>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</si>
  <si>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</si>
  <si>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</si>
  <si>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</si>
  <si>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</si>
  <si>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</si>
  <si>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</si>
  <si>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</si>
  <si>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</si>
  <si>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</si>
  <si>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</si>
  <si>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</si>
  <si>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</si>
  <si>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</si>
  <si>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</si>
  <si>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</si>
  <si>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</si>
  <si>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</si>
  <si>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</si>
  <si>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</si>
  <si>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</si>
  <si>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</si>
  <si>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</si>
  <si>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</si>
  <si>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</si>
  <si>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</si>
  <si>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</si>
  <si>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</si>
  <si>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</si>
  <si>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</si>
  <si>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</si>
  <si>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</si>
  <si>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</si>
  <si>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</si>
  <si>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</si>
  <si>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</si>
  <si>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</si>
  <si>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</si>
  <si>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</si>
  <si>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</si>
  <si>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</si>
  <si>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</si>
  <si>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</si>
  <si>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</si>
  <si>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</si>
  <si>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</si>
  <si>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</si>
  <si>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</si>
  <si>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</si>
  <si>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</si>
  <si>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</si>
  <si>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</si>
  <si>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</si>
  <si>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</si>
  <si>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</si>
  <si>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</si>
  <si>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</si>
  <si>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</si>
  <si>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</si>
  <si>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</si>
  <si>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</si>
  <si>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</si>
  <si>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</si>
  <si>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</si>
  <si>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</si>
  <si>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</si>
  <si>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</si>
  <si>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</si>
  <si>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</si>
  <si>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</si>
  <si>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</si>
  <si>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</si>
  <si>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</si>
  <si>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</si>
  <si>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</si>
  <si>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</si>
  <si>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</si>
  <si>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</si>
  <si>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</si>
  <si>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</si>
  <si>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</si>
  <si>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</si>
  <si>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</si>
  <si>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</si>
  <si>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</si>
  <si>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</si>
  <si>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</si>
  <si>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</si>
  <si>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</si>
  <si>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</si>
  <si>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</si>
  <si>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</si>
  <si>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</si>
  <si>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</si>
  <si>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</si>
  <si>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</si>
  <si>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</si>
  <si>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</si>
  <si>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</si>
  <si>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</si>
  <si>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</si>
  <si>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</si>
  <si>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</si>
  <si>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</si>
  <si>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</si>
  <si>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</si>
  <si>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</si>
  <si>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</si>
  <si>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</si>
  <si>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</si>
  <si>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</si>
  <si>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</si>
  <si>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</si>
  <si>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</si>
  <si>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</si>
  <si>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</si>
  <si>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</si>
  <si>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</si>
  <si>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</si>
  <si>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</si>
  <si>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</si>
  <si>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</si>
  <si>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</si>
  <si>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</si>
  <si>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</si>
  <si>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</si>
  <si>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</si>
  <si>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</si>
  <si>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</si>
  <si>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</si>
  <si>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</si>
  <si>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</si>
  <si>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</si>
  <si>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</si>
  <si>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</si>
  <si>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</si>
  <si>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</si>
  <si>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</si>
  <si>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</si>
  <si>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</si>
  <si>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</si>
  <si>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</si>
  <si>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</si>
  <si>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</si>
  <si>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</si>
  <si>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</si>
  <si>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</si>
  <si>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</si>
  <si>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</si>
  <si>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</si>
  <si>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</si>
  <si>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</si>
  <si>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</si>
  <si>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</si>
  <si>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</si>
  <si>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</si>
  <si>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</si>
  <si>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</si>
  <si>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</si>
  <si>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</si>
  <si>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</si>
  <si>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</si>
  <si>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</si>
  <si>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</si>
  <si>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</si>
  <si>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</si>
  <si>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</si>
  <si>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</si>
  <si>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</si>
  <si>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</si>
  <si>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</si>
  <si>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</si>
  <si>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</si>
  <si>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</si>
  <si>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</si>
  <si>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</si>
  <si>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</si>
  <si>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</si>
  <si>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</si>
  <si>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</si>
  <si>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</si>
  <si>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</si>
  <si>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</si>
  <si>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</si>
  <si>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</si>
  <si>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</si>
  <si>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</si>
  <si>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</si>
  <si>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</si>
  <si>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</si>
  <si>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</si>
  <si>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</si>
  <si>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</si>
  <si>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</si>
  <si>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</si>
  <si>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</si>
  <si>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</si>
  <si>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</si>
  <si>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</si>
  <si>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</si>
  <si>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</si>
  <si>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</si>
  <si>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</si>
  <si>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</si>
  <si>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</si>
  <si>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</si>
  <si>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</si>
  <si>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</si>
  <si>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</si>
  <si>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</si>
  <si>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</si>
  <si>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</si>
  <si>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</si>
  <si>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</si>
  <si>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</si>
  <si>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</si>
  <si>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</si>
  <si>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</si>
  <si>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</si>
  <si>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</si>
  <si>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</si>
  <si>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</si>
  <si>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</si>
  <si>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</si>
  <si>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</si>
  <si>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</si>
  <si>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</si>
  <si>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</si>
  <si>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</si>
  <si>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</si>
  <si>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</si>
  <si>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</si>
  <si>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</si>
  <si>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</si>
  <si>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</si>
  <si>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</si>
  <si>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</si>
  <si>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</si>
  <si>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</si>
  <si>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</si>
  <si>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</si>
  <si>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</si>
  <si>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</si>
  <si>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</si>
  <si>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</si>
  <si>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</si>
  <si>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</si>
  <si>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</si>
  <si>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</si>
  <si>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</si>
  <si>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</si>
  <si>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</si>
  <si>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</si>
  <si>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</si>
  <si>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</si>
  <si>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</si>
  <si>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</si>
  <si>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</si>
  <si>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</si>
  <si>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</si>
  <si>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</si>
  <si>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</si>
  <si>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</si>
  <si>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</si>
  <si>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</si>
  <si>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</si>
  <si>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</si>
  <si>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</si>
  <si>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</si>
  <si>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</si>
  <si>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</si>
  <si>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</si>
  <si>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</si>
  <si>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</si>
  <si>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</si>
  <si>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</si>
  <si>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</si>
  <si>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</si>
  <si>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</si>
  <si>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</si>
  <si>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</si>
  <si>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</si>
  <si>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</si>
  <si>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</si>
  <si>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</si>
  <si>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</si>
  <si>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</si>
  <si>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</si>
  <si>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</si>
  <si>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</si>
  <si>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</si>
  <si>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</si>
  <si>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</si>
  <si>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</si>
  <si>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</si>
  <si>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</si>
  <si>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</si>
  <si>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</si>
  <si>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</si>
  <si>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</si>
  <si>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</si>
  <si>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</si>
  <si>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</si>
  <si>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</si>
  <si>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</si>
  <si>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</si>
  <si>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</si>
  <si>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</si>
  <si>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</si>
  <si>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</si>
  <si>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</si>
  <si>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</si>
  <si>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</si>
  <si>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</si>
  <si>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</si>
  <si>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</si>
  <si>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</si>
  <si>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</si>
  <si>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</si>
  <si>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</si>
  <si>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</si>
  <si>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</si>
  <si>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</si>
  <si>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</si>
  <si>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</si>
  <si>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</si>
  <si>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</si>
  <si>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</si>
  <si>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</si>
  <si>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</si>
  <si>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</si>
  <si>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</si>
  <si>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</si>
  <si>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</si>
  <si>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</si>
  <si>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</si>
  <si>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</si>
  <si>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</si>
  <si>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</si>
  <si>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</si>
  <si>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</si>
  <si>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</si>
  <si>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</si>
  <si>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</si>
  <si>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</si>
  <si>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</si>
  <si>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</si>
  <si>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</si>
  <si>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</si>
  <si>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</si>
  <si>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</si>
  <si>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</si>
  <si>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</si>
  <si>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</si>
  <si>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</si>
  <si>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</si>
  <si>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</si>
  <si>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</si>
  <si>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</si>
  <si>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</si>
  <si>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</si>
  <si>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</si>
  <si>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</si>
  <si>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</si>
  <si>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</si>
  <si>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</si>
  <si>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</si>
  <si>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</si>
  <si>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</si>
  <si>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</si>
  <si>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</si>
  <si>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</si>
  <si>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</si>
  <si>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</si>
  <si>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</si>
  <si>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</si>
  <si>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</si>
  <si>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</si>
  <si>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</si>
  <si>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</si>
  <si>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</si>
  <si>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</si>
  <si>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</si>
  <si>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</si>
  <si>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</si>
  <si>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</si>
  <si>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</si>
  <si>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</si>
  <si>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</si>
  <si>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</si>
  <si>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</si>
  <si>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</si>
  <si>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</si>
  <si>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</si>
  <si>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</si>
  <si>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</si>
  <si>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</si>
  <si>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</si>
  <si>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</si>
  <si>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</si>
  <si>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</si>
  <si>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</si>
  <si>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</si>
  <si>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</si>
  <si>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</si>
  <si>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</si>
  <si>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</si>
  <si>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</si>
  <si>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</si>
  <si>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</si>
  <si>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</si>
  <si>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</si>
  <si>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</si>
  <si>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</si>
  <si>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</si>
  <si>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</si>
  <si>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</si>
  <si>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</si>
  <si>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</si>
  <si>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</si>
  <si>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</si>
  <si>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</si>
  <si>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</si>
  <si>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</si>
  <si>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</si>
  <si>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</si>
  <si>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</si>
  <si>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</si>
  <si>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</si>
  <si>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</si>
  <si>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</si>
  <si>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</si>
  <si>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</si>
  <si>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</si>
  <si>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</si>
  <si>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</si>
  <si>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</si>
  <si>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</si>
  <si>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</si>
  <si>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</si>
  <si>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</si>
  <si>
    <t>Total Sales by North</t>
  </si>
  <si>
    <t>Total Sales by South</t>
  </si>
  <si>
    <t>Total Sales by East</t>
  </si>
  <si>
    <t>Total Sales by West</t>
  </si>
  <si>
    <t>No. of Orders for North</t>
  </si>
  <si>
    <t>No. of Orders for South</t>
  </si>
  <si>
    <t>No. of Orders for East</t>
  </si>
  <si>
    <t>No. of Orders for West</t>
  </si>
  <si>
    <t>Total Sales by Region</t>
  </si>
  <si>
    <t>No. of orders by region</t>
  </si>
  <si>
    <t>Total Sales for 2023</t>
  </si>
  <si>
    <t>Last six month sales</t>
  </si>
  <si>
    <t>Count Duplicate of region</t>
  </si>
  <si>
    <t>Names</t>
  </si>
  <si>
    <t>Employee ID</t>
  </si>
  <si>
    <t>IT</t>
  </si>
  <si>
    <t>Finance</t>
  </si>
  <si>
    <t>HR</t>
  </si>
  <si>
    <t>Ketan</t>
  </si>
  <si>
    <t xml:space="preserve">Aditya </t>
  </si>
  <si>
    <t>Neha</t>
  </si>
  <si>
    <t>Pooha</t>
  </si>
  <si>
    <t>Find Duplicates in Employee ID</t>
  </si>
  <si>
    <t xml:space="preserve">Departments </t>
  </si>
  <si>
    <t>Average</t>
  </si>
  <si>
    <t>Calculate subtotal of data includes hidden</t>
  </si>
  <si>
    <t>Ignores the manually hidden</t>
  </si>
  <si>
    <t xml:space="preserve"> </t>
  </si>
  <si>
    <t>Total Sales (subtotal)</t>
  </si>
  <si>
    <t>EmpID</t>
  </si>
  <si>
    <t>EmployeeID</t>
  </si>
  <si>
    <t>VLOOKUP</t>
  </si>
  <si>
    <t>Match of Mangesh</t>
  </si>
  <si>
    <t>Using Index-Match</t>
  </si>
  <si>
    <t>Using Vlookup</t>
  </si>
  <si>
    <t xml:space="preserve">Employee 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</si>
</sst>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2.3"/>
      <color rgb="FF333333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2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medium">
        <color indexed="64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medium">
        <color indexed="64"/>
      </right>
      <top style="thin">
        <color rgb="FFB2B2B2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4" fillId="0" borderId="0" applyNumberFormat="0" applyFill="0" applyBorder="0" applyAlignment="0" applyProtection="0"/>
    <xf numFmtId="0" fontId="24" fillId="8" borderId="0" applyNumberFormat="0" applyBorder="0" applyAlignment="0" applyProtection="0"/>
    <xf numFmtId="0" fontId="23" fillId="9" borderId="29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</cellStyleXfs>
  <cellXfs count="154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1" fillId="0" borderId="6" xfId="0" applyFont="1" applyBorder="1"/>
    <xf numFmtId="0" fontId="12" fillId="2" borderId="7" xfId="0" applyFont="1" applyFill="1" applyBorder="1" applyAlignment="1">
      <alignment horizontal="center"/>
    </xf>
    <xf numFmtId="0" fontId="13" fillId="3" borderId="1" xfId="0" applyFont="1" applyFill="1" applyBorder="1"/>
    <xf numFmtId="0" fontId="13" fillId="0" borderId="5" xfId="0" applyFont="1" applyBorder="1"/>
    <xf numFmtId="0" fontId="13" fillId="3" borderId="5" xfId="0" applyFont="1" applyFill="1" applyBorder="1"/>
    <xf numFmtId="0" fontId="14" fillId="0" borderId="0" xfId="1" applyBorder="1"/>
    <xf numFmtId="0" fontId="10" fillId="0" borderId="0" xfId="0" applyFont="1"/>
    <xf numFmtId="0" fontId="0" fillId="5" borderId="9" xfId="0" applyFill="1" applyBorder="1"/>
    <xf numFmtId="0" fontId="0" fillId="0" borderId="9" xfId="0" applyBorder="1"/>
    <xf numFmtId="0" fontId="14" fillId="5" borderId="9" xfId="1" applyFill="1" applyBorder="1"/>
    <xf numFmtId="0" fontId="14" fillId="0" borderId="9" xfId="1" applyBorder="1"/>
    <xf numFmtId="0" fontId="15" fillId="4" borderId="10" xfId="0" applyFont="1" applyFill="1" applyBorder="1"/>
    <xf numFmtId="0" fontId="0" fillId="0" borderId="11" xfId="0" applyBorder="1"/>
    <xf numFmtId="0" fontId="14" fillId="0" borderId="11" xfId="1" applyBorder="1"/>
    <xf numFmtId="0" fontId="17" fillId="0" borderId="1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5" xfId="0" applyFont="1" applyBorder="1"/>
    <xf numFmtId="0" fontId="17" fillId="0" borderId="14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9" fillId="2" borderId="7" xfId="0" applyFont="1" applyFill="1" applyBorder="1" applyAlignment="1">
      <alignment horizontal="center"/>
    </xf>
    <xf numFmtId="0" fontId="13" fillId="0" borderId="0" xfId="0" applyFont="1"/>
    <xf numFmtId="0" fontId="12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4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3" fillId="0" borderId="0" xfId="0" applyFont="1"/>
    <xf numFmtId="0" fontId="0" fillId="0" borderId="12" xfId="0" applyBorder="1"/>
    <xf numFmtId="0" fontId="10" fillId="0" borderId="16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0" fillId="0" borderId="20" xfId="0" applyBorder="1"/>
    <xf numFmtId="3" fontId="3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10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22" fillId="7" borderId="17" xfId="0" applyFont="1" applyFill="1" applyBorder="1" applyAlignment="1">
      <alignment vertical="top" wrapText="1" indent="1"/>
    </xf>
    <xf numFmtId="0" fontId="22" fillId="7" borderId="18" xfId="0" applyFont="1" applyFill="1" applyBorder="1" applyAlignment="1">
      <alignment vertical="top" wrapText="1" indent="1"/>
    </xf>
    <xf numFmtId="0" fontId="21" fillId="6" borderId="16" xfId="0" applyFont="1" applyFill="1" applyBorder="1" applyAlignment="1">
      <alignment horizontal="left" vertical="center" wrapText="1"/>
    </xf>
    <xf numFmtId="0" fontId="21" fillId="6" borderId="15" xfId="0" applyFont="1" applyFill="1" applyBorder="1" applyAlignment="1">
      <alignment horizontal="left" vertical="center" wrapText="1"/>
    </xf>
    <xf numFmtId="0" fontId="22" fillId="7" borderId="14" xfId="0" applyFont="1" applyFill="1" applyBorder="1" applyAlignment="1">
      <alignment vertical="top" wrapText="1" indent="1"/>
    </xf>
    <xf numFmtId="0" fontId="22" fillId="7" borderId="13" xfId="0" applyFont="1" applyFill="1" applyBorder="1" applyAlignment="1">
      <alignment vertical="top" wrapText="1" indent="1"/>
    </xf>
    <xf numFmtId="0" fontId="5" fillId="0" borderId="21" xfId="0" applyFont="1" applyBorder="1"/>
    <xf numFmtId="0" fontId="20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2" fillId="10" borderId="22" xfId="4" applyBorder="1"/>
    <xf numFmtId="166" fontId="2" fillId="10" borderId="23" xfId="4" applyNumberFormat="1" applyBorder="1"/>
    <xf numFmtId="0" fontId="2" fillId="10" borderId="24" xfId="4" applyBorder="1"/>
    <xf numFmtId="166" fontId="2" fillId="10" borderId="25" xfId="4" applyNumberFormat="1" applyBorder="1"/>
    <xf numFmtId="0" fontId="2" fillId="10" borderId="23" xfId="4" applyBorder="1"/>
    <xf numFmtId="166" fontId="2" fillId="10" borderId="25" xfId="4" applyNumberFormat="1" applyBorder="1" applyAlignment="1">
      <alignment vertical="center" wrapText="1"/>
    </xf>
    <xf numFmtId="0" fontId="2" fillId="10" borderId="24" xfId="4" applyBorder="1" applyAlignment="1">
      <alignment horizontal="center" vertical="center"/>
    </xf>
    <xf numFmtId="0" fontId="2" fillId="10" borderId="25" xfId="4" applyBorder="1"/>
    <xf numFmtId="0" fontId="2" fillId="10" borderId="27" xfId="4" applyBorder="1"/>
    <xf numFmtId="0" fontId="2" fillId="10" borderId="28" xfId="4" applyBorder="1"/>
    <xf numFmtId="0" fontId="11" fillId="14" borderId="26" xfId="0" applyFont="1" applyFill="1" applyBorder="1"/>
    <xf numFmtId="0" fontId="11" fillId="14" borderId="32" xfId="0" applyFont="1" applyFill="1" applyBorder="1"/>
    <xf numFmtId="0" fontId="2" fillId="12" borderId="30" xfId="6" applyBorder="1"/>
    <xf numFmtId="0" fontId="2" fillId="12" borderId="21" xfId="6" applyBorder="1"/>
    <xf numFmtId="0" fontId="2" fillId="12" borderId="22" xfId="6" applyBorder="1"/>
    <xf numFmtId="0" fontId="2" fillId="12" borderId="23" xfId="6" applyBorder="1"/>
    <xf numFmtId="0" fontId="2" fillId="12" borderId="24" xfId="6" applyBorder="1"/>
    <xf numFmtId="0" fontId="2" fillId="12" borderId="25" xfId="6" applyBorder="1"/>
    <xf numFmtId="0" fontId="2" fillId="11" borderId="27" xfId="5" applyBorder="1"/>
    <xf numFmtId="0" fontId="2" fillId="11" borderId="28" xfId="5" applyBorder="1"/>
    <xf numFmtId="2" fontId="2" fillId="10" borderId="28" xfId="4" applyNumberFormat="1" applyBorder="1"/>
    <xf numFmtId="0" fontId="20" fillId="9" borderId="26" xfId="3" applyFont="1" applyBorder="1" applyAlignment="1">
      <alignment horizontal="center"/>
    </xf>
    <xf numFmtId="0" fontId="20" fillId="9" borderId="26" xfId="3" applyFont="1" applyBorder="1" applyAlignment="1">
      <alignment horizontal="center" vertical="center"/>
    </xf>
    <xf numFmtId="0" fontId="24" fillId="8" borderId="27" xfId="2" applyBorder="1"/>
    <xf numFmtId="0" fontId="24" fillId="8" borderId="28" xfId="2" applyBorder="1"/>
    <xf numFmtId="0" fontId="2" fillId="0" borderId="0" xfId="0" applyFont="1"/>
    <xf numFmtId="0" fontId="10" fillId="0" borderId="27" xfId="0" applyFont="1" applyBorder="1"/>
    <xf numFmtId="0" fontId="10" fillId="0" borderId="28" xfId="0" applyFont="1" applyBorder="1"/>
    <xf numFmtId="0" fontId="2" fillId="13" borderId="27" xfId="7" applyBorder="1"/>
    <xf numFmtId="0" fontId="2" fillId="13" borderId="33" xfId="7" applyBorder="1"/>
    <xf numFmtId="0" fontId="2" fillId="13" borderId="28" xfId="7" applyBorder="1"/>
    <xf numFmtId="0" fontId="2" fillId="13" borderId="22" xfId="7" applyBorder="1"/>
    <xf numFmtId="0" fontId="2" fillId="13" borderId="0" xfId="7" applyBorder="1"/>
    <xf numFmtId="0" fontId="2" fillId="13" borderId="23" xfId="7" applyBorder="1"/>
    <xf numFmtId="0" fontId="2" fillId="13" borderId="24" xfId="7" applyBorder="1"/>
    <xf numFmtId="0" fontId="2" fillId="13" borderId="31" xfId="7" applyBorder="1"/>
    <xf numFmtId="0" fontId="2" fillId="13" borderId="25" xfId="7" applyBorder="1"/>
    <xf numFmtId="0" fontId="0" fillId="15" borderId="0" xfId="0" applyFill="1"/>
    <xf numFmtId="0" fontId="21" fillId="6" borderId="34" xfId="0" applyFont="1" applyFill="1" applyBorder="1" applyAlignment="1">
      <alignment horizontal="left" vertical="center" wrapText="1"/>
    </xf>
    <xf numFmtId="0" fontId="25" fillId="6" borderId="34" xfId="0" applyFont="1" applyFill="1" applyBorder="1" applyAlignment="1">
      <alignment horizontal="left" vertical="center" wrapText="1"/>
    </xf>
    <xf numFmtId="0" fontId="22" fillId="7" borderId="0" xfId="0" applyFont="1" applyFill="1" applyAlignment="1">
      <alignment vertical="top" wrapText="1" indent="1"/>
    </xf>
    <xf numFmtId="0" fontId="2" fillId="13" borderId="30" xfId="7" applyBorder="1"/>
    <xf numFmtId="0" fontId="2" fillId="13" borderId="21" xfId="7" applyBorder="1"/>
    <xf numFmtId="0" fontId="2" fillId="10" borderId="12" xfId="4" applyBorder="1"/>
    <xf numFmtId="0" fontId="0" fillId="0" borderId="35" xfId="0" applyBorder="1"/>
    <xf numFmtId="0" fontId="0" fillId="0" borderId="21" xfId="0" applyBorder="1"/>
    <xf numFmtId="0" fontId="0" fillId="0" borderId="24" xfId="0" applyBorder="1"/>
    <xf numFmtId="0" fontId="0" fillId="0" borderId="31" xfId="0" applyBorder="1"/>
    <xf numFmtId="0" fontId="0" fillId="0" borderId="25" xfId="0" applyBorder="1"/>
    <xf numFmtId="0" fontId="16" fillId="0" borderId="12" xfId="0" applyFont="1" applyBorder="1" applyAlignment="1">
      <alignment horizontal="center" vertical="center"/>
    </xf>
    <xf numFmtId="0" fontId="17" fillId="16" borderId="12" xfId="0" applyFont="1" applyFill="1" applyBorder="1" applyAlignment="1">
      <alignment horizontal="center" vertical="center"/>
    </xf>
    <xf numFmtId="0" fontId="10" fillId="9" borderId="36" xfId="3" applyFont="1" applyBorder="1" applyAlignment="1">
      <alignment horizontal="center"/>
    </xf>
    <xf numFmtId="0" fontId="10" fillId="0" borderId="27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14" borderId="30" xfId="0" applyFont="1" applyFill="1" applyBorder="1"/>
    <xf numFmtId="0" fontId="10" fillId="9" borderId="37" xfId="3" applyFont="1" applyBorder="1" applyAlignment="1">
      <alignment horizontal="center"/>
    </xf>
    <xf numFmtId="0" fontId="10" fillId="9" borderId="38" xfId="3" applyFont="1" applyBorder="1" applyAlignment="1">
      <alignment horizontal="center"/>
    </xf>
    <xf numFmtId="0" fontId="1" fillId="9" borderId="36" xfId="3" applyFont="1" applyBorder="1"/>
    <xf numFmtId="0" fontId="16" fillId="0" borderId="39" xfId="0" applyFont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6" fillId="0" borderId="41" xfId="0" applyFont="1" applyBorder="1"/>
    <xf numFmtId="0" fontId="0" fillId="0" borderId="15" xfId="0" applyBorder="1"/>
    <xf numFmtId="0" fontId="0" fillId="0" borderId="16" xfId="0" applyBorder="1"/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</cellXfs>
  <cellStyles count="8">
    <cellStyle name="20% - Accent2" xfId="4" builtinId="34"/>
    <cellStyle name="20% - Accent3" xfId="5" builtinId="38"/>
    <cellStyle name="20% - Accent4" xfId="6" builtinId="42"/>
    <cellStyle name="20% - Accent5" xfId="7" builtinId="46"/>
    <cellStyle name="Good" xfId="2" builtinId="26"/>
    <cellStyle name="Hyperlink" xfId="1" builtinId="8"/>
    <cellStyle name="Normal" xfId="0" builtinId="0"/>
    <cellStyle name="Note" xfId="3" builtinId="1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63" dataDxfId="62" tableBorderDxfId="61">
  <autoFilter ref="A1:Q499" xr:uid="{D1E78581-CDEC-49EE-B8DC-A227C0757631}"/>
  <tableColumns count="17">
    <tableColumn id="1" xr3:uid="{8B304A60-B8C9-4979-B67B-B25A9B864B72}" name="Column1" dataDxfId="60"/>
    <tableColumn id="2" xr3:uid="{2D3F64D4-436B-4836-A733-3255B375685E}" name="Region" dataDxfId="59"/>
    <tableColumn id="15" xr3:uid="{8F8F9EC8-B524-4266-87C9-B369FF884963}" name="Updated region" dataDxfId="58"/>
    <tableColumn id="3" xr3:uid="{E344FBA1-63F8-453C-BAB0-8696D5C5ADFA}" name="Category" dataDxfId="57"/>
    <tableColumn id="4" xr3:uid="{EEDFF6A6-A6B8-4584-81CC-3FEFDA60E218}" name="sales" dataDxfId="56"/>
    <tableColumn id="17" xr3:uid="{0FE78A95-ABA3-4420-9862-389F567677F4}" name="Sales_Range" dataDxfId="55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54"/>
    <tableColumn id="6" xr3:uid="{031D638C-25E8-4D1B-BC09-4AA98712CA5F}" name="quantity" dataDxfId="53"/>
    <tableColumn id="7" xr3:uid="{6F6EB0D8-424B-4AC8-81C9-7C00315E2B39}" name="order_date" dataDxfId="52"/>
    <tableColumn id="8" xr3:uid="{0655DCF6-A9AE-4DBC-8BCD-0DDB91A76E3F}" name="delivery_date" dataDxfId="51"/>
    <tableColumn id="9" xr3:uid="{4A08809E-03F7-4D5D-91CC-E0D9BC4E6CCD}" name="customer_type" dataDxfId="50"/>
    <tableColumn id="10" xr3:uid="{1B22ACAF-6F45-4EF9-BD4D-3882847DEADD}" name="customer_type2" dataDxfId="49"/>
    <tableColumn id="11" xr3:uid="{1AAA8999-D7A1-4DB5-B4DA-131DA9CFBC1D}" name="payment_mode" dataDxfId="48"/>
    <tableColumn id="12" xr3:uid="{47AC25B1-7621-493D-B41B-C4A660573B07}" name="profit" dataDxfId="47"/>
    <tableColumn id="14" xr3:uid="{285DAA76-019F-4DAE-9C58-731537A4E5A8}" name="Updated_City" dataDxfId="46"/>
    <tableColumn id="13" xr3:uid="{B1583274-EA92-4587-97FE-7E9FCE51D726}" name="city" dataDxfId="45"/>
    <tableColumn id="18" xr3:uid="{740C088C-8609-4AAD-81B8-DF0D9B02079A}" name="Discount or Not" dataDxfId="4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43" tableBorderDxfId="42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41" headerRowBorderDxfId="40" tableBorderDxfId="39" totalsRowBorderDxfId="38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7" tableBorderDxfId="36" totalsRowBorderDxfId="35">
  <autoFilter ref="H18:J23" xr:uid="{C4582CC2-34E1-4108-B90B-B0A79AC476DF}"/>
  <tableColumns count="3">
    <tableColumn id="1" xr3:uid="{2E1B0446-2B2E-4C3D-A1EE-391AF9212486}" name="Name " dataDxfId="34"/>
    <tableColumn id="2" xr3:uid="{19AB838D-F57F-4448-AE00-5E4AA9FB304C}" name="Salary" dataDxfId="33"/>
    <tableColumn id="3" xr3:uid="{B096BCFB-275E-45AA-A72E-D0C36078B65E}" name="Bonus" dataDxfId="32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31" headerRowBorderDxfId="30" tableBorderDxfId="29" totalsRowBorderDxfId="28">
  <autoFilter ref="H8:J13" xr:uid="{EDE8ED26-A613-4F4E-A465-CC70B9528A2A}"/>
  <tableColumns count="3">
    <tableColumn id="1" xr3:uid="{CFB5A7CD-331C-4C43-96A8-0EF34910777D}" name="Name " dataDxfId="27"/>
    <tableColumn id="2" xr3:uid="{CB401229-AA4D-4F02-997A-EECEC42124A1}" name="Marks" dataDxfId="26"/>
    <tableColumn id="3" xr3:uid="{032BA486-4C96-46E4-9FCC-835E6841B1B4}" name="Grade" dataDxfId="25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24" headerRowBorderDxfId="23" tableBorderDxfId="22" totalsRowBorderDxfId="21">
  <autoFilter ref="P17:R22" xr:uid="{1A0C1234-3244-41FE-AADF-1A185E3361D9}"/>
  <tableColumns count="3">
    <tableColumn id="1" xr3:uid="{B127EBF8-5637-44F7-83D3-381997DBE027}" name="Number 1" dataDxfId="20"/>
    <tableColumn id="2" xr3:uid="{C43106B6-1733-443D-94FA-BECDAC1C755A}" name="Number 2" dataDxfId="19"/>
    <tableColumn id="3" xr3:uid="{F76B590F-EE8E-45BA-9CE4-30BC585483D7}" name="Division" dataDxfId="18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502A47-E98A-463F-8AA7-4D9B850FF6A3}" name="Table411" displayName="Table411" ref="D4:F9" totalsRowShown="0" headerRowBorderDxfId="17" tableBorderDxfId="16" totalsRowBorderDxfId="15">
  <autoFilter ref="D4:F9" xr:uid="{A7502A47-E98A-463F-8AA7-4D9B850FF6A3}"/>
  <tableColumns count="3">
    <tableColumn id="1" xr3:uid="{FD8EB1ED-A4EA-4B25-85B7-992ACBFDE285}" name="Name " dataDxfId="14"/>
    <tableColumn id="2" xr3:uid="{E6AC4D50-CDA2-45FD-B74D-AEEA0460D944}" name="Salary" dataDxfId="13"/>
    <tableColumn id="3" xr3:uid="{138E2406-FACD-4389-AB04-04C7B4CAAAD0}" name="Bonus" dataDxfId="12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5" headerRowBorderDxfId="4" tableBorderDxfId="3" totalsRowBorderDxfId="2">
  <autoFilter ref="B16:C20" xr:uid="{D282ED5D-22A6-415A-A10A-2B4A8091F761}"/>
  <tableColumns count="2">
    <tableColumn id="1" xr3:uid="{0063F624-5548-4FC5-A9F7-B87EB616BE8D}" name="Data" dataDxfId="1"/>
    <tableColumn id="2" xr3:uid="{ACA1AE24-A257-4956-B7F8-372ACF52726B}" name="Data2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opLeftCell="R1" zoomScale="107" zoomScaleNormal="107" workbookViewId="0">
      <selection activeCell="Y29" sqref="Y29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1" width="8.6640625" customWidth="1"/>
    <col min="22" max="22" width="21.5546875" bestFit="1" customWidth="1"/>
    <col min="23" max="23" width="10.44140625" bestFit="1" customWidth="1"/>
    <col min="24" max="26" width="8.6640625" customWidth="1"/>
  </cols>
  <sheetData>
    <row r="1" spans="1:28" ht="14.25" customHeight="1" x14ac:dyDescent="0.3">
      <c r="A1" s="20" t="s">
        <v>0</v>
      </c>
      <c r="B1" s="21" t="s">
        <v>1</v>
      </c>
      <c r="C1" s="21" t="s">
        <v>577</v>
      </c>
      <c r="D1" s="21" t="s">
        <v>2</v>
      </c>
      <c r="E1" s="21" t="s">
        <v>3</v>
      </c>
      <c r="F1" s="54" t="s">
        <v>610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8</v>
      </c>
      <c r="L1" s="22" t="s">
        <v>542</v>
      </c>
      <c r="M1" s="22" t="s">
        <v>9</v>
      </c>
      <c r="N1" s="22" t="s">
        <v>10</v>
      </c>
      <c r="O1" s="25" t="s">
        <v>544</v>
      </c>
      <c r="P1" s="23" t="s">
        <v>11</v>
      </c>
      <c r="Q1" s="56" t="s">
        <v>611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12</v>
      </c>
      <c r="B2" s="4" t="s">
        <v>13</v>
      </c>
      <c r="C2" s="4" t="s">
        <v>13</v>
      </c>
      <c r="D2" s="5" t="s">
        <v>14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15</v>
      </c>
      <c r="L2" s="5" t="s">
        <v>15</v>
      </c>
      <c r="M2" s="5" t="s">
        <v>16</v>
      </c>
      <c r="N2" s="5">
        <v>114.72</v>
      </c>
      <c r="O2" s="26" t="s">
        <v>17</v>
      </c>
      <c r="P2" s="7" t="s">
        <v>17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18</v>
      </c>
      <c r="B3" s="9" t="s">
        <v>576</v>
      </c>
      <c r="C3" s="9" t="s">
        <v>576</v>
      </c>
      <c r="D3" s="10" t="s">
        <v>19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20</v>
      </c>
      <c r="M3" s="10" t="s">
        <v>21</v>
      </c>
      <c r="N3" s="10">
        <v>971.41</v>
      </c>
      <c r="O3" s="27" t="s">
        <v>79</v>
      </c>
      <c r="P3" s="12" t="s">
        <v>22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23</v>
      </c>
      <c r="B4" s="14" t="s">
        <v>24</v>
      </c>
      <c r="C4" s="14" t="s">
        <v>24</v>
      </c>
      <c r="D4" s="15" t="s">
        <v>25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20</v>
      </c>
      <c r="M4" s="15" t="s">
        <v>26</v>
      </c>
      <c r="N4" s="15">
        <v>769.08</v>
      </c>
      <c r="O4" s="28" t="s">
        <v>27</v>
      </c>
      <c r="P4" s="17" t="s">
        <v>27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28</v>
      </c>
      <c r="B5" s="9" t="s">
        <v>29</v>
      </c>
      <c r="C5" s="9" t="s">
        <v>29</v>
      </c>
      <c r="D5" s="10" t="s">
        <v>19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15</v>
      </c>
      <c r="L5" s="10" t="s">
        <v>15</v>
      </c>
      <c r="M5" s="10" t="s">
        <v>16</v>
      </c>
      <c r="N5" s="10">
        <v>71.61</v>
      </c>
      <c r="O5" s="27" t="s">
        <v>35</v>
      </c>
      <c r="P5" s="18" t="s">
        <v>30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10" t="s">
        <v>629</v>
      </c>
      <c r="T5" s="86"/>
      <c r="U5" s="1"/>
      <c r="V5" s="99" t="s">
        <v>658</v>
      </c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31</v>
      </c>
      <c r="B6" s="14" t="s">
        <v>13</v>
      </c>
      <c r="C6" s="4" t="s">
        <v>13</v>
      </c>
      <c r="D6" s="15" t="s">
        <v>19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32</v>
      </c>
      <c r="M6" s="15" t="s">
        <v>26</v>
      </c>
      <c r="N6" s="15">
        <v>621.91999999999996</v>
      </c>
      <c r="O6" s="27" t="s">
        <v>17</v>
      </c>
      <c r="P6" s="17" t="s">
        <v>17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89" t="s">
        <v>613</v>
      </c>
      <c r="T6" s="90">
        <f>SUMIF(Dmart_sales_data[payment_mode],"=UPI",Dmart_sales_data[sales])</f>
        <v>386412.25</v>
      </c>
      <c r="U6" s="1"/>
      <c r="V6" s="130" t="s">
        <v>650</v>
      </c>
      <c r="W6" s="131" cm="1">
        <f t="array" ref="W6">SUMIF(Region,"=North",sales)</f>
        <v>334964.16000000003</v>
      </c>
      <c r="X6" s="1"/>
      <c r="Y6" s="1"/>
      <c r="Z6" s="1"/>
      <c r="AA6" s="1"/>
      <c r="AB6" s="1"/>
    </row>
    <row r="7" spans="1:28" ht="14.25" customHeight="1" x14ac:dyDescent="0.3">
      <c r="A7" s="8" t="s">
        <v>33</v>
      </c>
      <c r="B7" s="9" t="s">
        <v>576</v>
      </c>
      <c r="C7" s="9" t="s">
        <v>576</v>
      </c>
      <c r="D7" s="10" t="s">
        <v>34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15</v>
      </c>
      <c r="L7" s="10" t="s">
        <v>15</v>
      </c>
      <c r="M7" s="10" t="s">
        <v>16</v>
      </c>
      <c r="N7" s="10">
        <v>578.94000000000005</v>
      </c>
      <c r="O7" s="27" t="s">
        <v>35</v>
      </c>
      <c r="P7" s="12" t="s">
        <v>35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89"/>
      <c r="T7" s="90"/>
      <c r="U7" s="1"/>
      <c r="V7" s="120" t="s">
        <v>651</v>
      </c>
      <c r="W7" s="122" cm="1">
        <f t="array" ref="W7">SUMIF(Region,"=South",sales)</f>
        <v>303623.68999999994</v>
      </c>
      <c r="X7" s="1"/>
      <c r="Y7" s="1"/>
      <c r="Z7" s="1"/>
      <c r="AA7" s="1"/>
      <c r="AB7" s="1"/>
    </row>
    <row r="8" spans="1:28" ht="14.25" customHeight="1" x14ac:dyDescent="0.3">
      <c r="A8" s="13" t="s">
        <v>36</v>
      </c>
      <c r="B8" s="14" t="s">
        <v>24</v>
      </c>
      <c r="C8" s="14" t="s">
        <v>24</v>
      </c>
      <c r="D8" s="15" t="s">
        <v>37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32</v>
      </c>
      <c r="M8" s="15" t="s">
        <v>26</v>
      </c>
      <c r="N8" s="15">
        <v>110.31</v>
      </c>
      <c r="O8" s="27" t="s">
        <v>17</v>
      </c>
      <c r="P8" s="17" t="s">
        <v>17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89" t="s">
        <v>614</v>
      </c>
      <c r="T8" s="90">
        <f>SUMIF(Dmart_sales_data[payment_mode],"=Cash",Dmart_sales_data[sales])</f>
        <v>522964.3</v>
      </c>
      <c r="U8" s="1"/>
      <c r="V8" s="120" t="s">
        <v>652</v>
      </c>
      <c r="W8" s="122" cm="1">
        <f t="array" ref="W8">SUMIF(Region,"=East",sales)</f>
        <v>337881.26999999996</v>
      </c>
      <c r="X8" s="1"/>
      <c r="Y8" s="1"/>
      <c r="Z8" s="1"/>
      <c r="AA8" s="1"/>
      <c r="AB8" s="1"/>
    </row>
    <row r="9" spans="1:28" ht="14.25" customHeight="1" thickBot="1" x14ac:dyDescent="0.35">
      <c r="A9" s="8" t="s">
        <v>38</v>
      </c>
      <c r="B9" s="9" t="s">
        <v>29</v>
      </c>
      <c r="C9" s="9" t="s">
        <v>29</v>
      </c>
      <c r="D9" s="10" t="s">
        <v>37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20</v>
      </c>
      <c r="M9" s="10" t="s">
        <v>16</v>
      </c>
      <c r="N9" s="10">
        <v>91.68</v>
      </c>
      <c r="O9" s="27" t="s">
        <v>27</v>
      </c>
      <c r="P9" s="24" t="s">
        <v>543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89"/>
      <c r="T9" s="90"/>
      <c r="U9" s="1"/>
      <c r="V9" s="123" t="s">
        <v>653</v>
      </c>
      <c r="W9" s="125" cm="1">
        <f t="array" ref="W9">SUMIF(Region,"=West",sales)</f>
        <v>346200.06999999983</v>
      </c>
      <c r="X9" s="1"/>
      <c r="Y9" s="1"/>
      <c r="Z9" s="1"/>
      <c r="AA9" s="1"/>
      <c r="AB9" s="1"/>
    </row>
    <row r="10" spans="1:28" ht="14.25" customHeight="1" thickBot="1" x14ac:dyDescent="0.35">
      <c r="A10" s="13" t="s">
        <v>40</v>
      </c>
      <c r="B10" s="14" t="s">
        <v>13</v>
      </c>
      <c r="C10" s="4" t="s">
        <v>13</v>
      </c>
      <c r="D10" s="15" t="s">
        <v>37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20</v>
      </c>
      <c r="M10" s="15" t="s">
        <v>21</v>
      </c>
      <c r="N10" s="15">
        <v>995.78</v>
      </c>
      <c r="O10" s="28" t="s">
        <v>41</v>
      </c>
      <c r="P10" s="17" t="s">
        <v>41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91" t="s">
        <v>615</v>
      </c>
      <c r="T10" s="92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42</v>
      </c>
      <c r="B11" s="9" t="s">
        <v>576</v>
      </c>
      <c r="C11" s="9" t="s">
        <v>576</v>
      </c>
      <c r="D11" s="10" t="s">
        <v>34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32</v>
      </c>
      <c r="M11" s="10" t="s">
        <v>26</v>
      </c>
      <c r="N11" s="10">
        <v>102.96</v>
      </c>
      <c r="O11" s="27" t="s">
        <v>79</v>
      </c>
      <c r="P11" s="12" t="s">
        <v>22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43</v>
      </c>
      <c r="B12" s="14" t="s">
        <v>24</v>
      </c>
      <c r="C12" s="14" t="s">
        <v>24</v>
      </c>
      <c r="D12" s="15" t="s">
        <v>14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20</v>
      </c>
      <c r="M12" s="15" t="s">
        <v>26</v>
      </c>
      <c r="N12" s="15">
        <v>542.82000000000005</v>
      </c>
      <c r="O12" s="27" t="s">
        <v>41</v>
      </c>
      <c r="P12" s="17" t="s">
        <v>44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110" t="s">
        <v>630</v>
      </c>
      <c r="T12" s="86"/>
      <c r="U12" s="1"/>
      <c r="V12" s="100" t="s">
        <v>659</v>
      </c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45</v>
      </c>
      <c r="B13" s="9" t="s">
        <v>29</v>
      </c>
      <c r="C13" s="9" t="s">
        <v>29</v>
      </c>
      <c r="D13" s="10" t="s">
        <v>14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32</v>
      </c>
      <c r="M13" s="10" t="s">
        <v>16</v>
      </c>
      <c r="N13" s="10">
        <v>1028.47</v>
      </c>
      <c r="O13" s="27" t="s">
        <v>41</v>
      </c>
      <c r="P13" s="12" t="s">
        <v>41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89" t="s">
        <v>628</v>
      </c>
      <c r="T13" s="90">
        <f>SUMIFS(Dmart_sales_data[sales],Dmart_sales_data[Category],"=Clothing",Dmart_sales_data[Updated region],"=East")</f>
        <v>60655.859999999993</v>
      </c>
      <c r="U13" s="1"/>
      <c r="V13" s="101" t="s">
        <v>654</v>
      </c>
      <c r="W13" s="102" cm="1">
        <f t="array" ref="W13">COUNTIF(Region,"North")</f>
        <v>124</v>
      </c>
      <c r="X13" s="1"/>
      <c r="Y13" s="1"/>
      <c r="Z13" s="1"/>
      <c r="AA13" s="1"/>
      <c r="AB13" s="1"/>
    </row>
    <row r="14" spans="1:28" ht="14.25" customHeight="1" x14ac:dyDescent="0.3">
      <c r="A14" s="13" t="s">
        <v>46</v>
      </c>
      <c r="B14" s="14" t="s">
        <v>13</v>
      </c>
      <c r="C14" s="4" t="s">
        <v>13</v>
      </c>
      <c r="D14" s="15" t="s">
        <v>25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32</v>
      </c>
      <c r="M14" s="15" t="s">
        <v>26</v>
      </c>
      <c r="N14" s="15">
        <v>131.5</v>
      </c>
      <c r="O14" s="27" t="s">
        <v>35</v>
      </c>
      <c r="P14" s="17" t="s">
        <v>30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89"/>
      <c r="T14" s="93"/>
      <c r="U14" s="1"/>
      <c r="V14" s="103" t="s">
        <v>655</v>
      </c>
      <c r="W14" s="104" cm="1">
        <f t="array" ref="W14">COUNTIF(Region,"North")</f>
        <v>124</v>
      </c>
      <c r="X14" s="1"/>
      <c r="Y14" s="1"/>
      <c r="Z14" s="1"/>
      <c r="AA14" s="1"/>
      <c r="AB14" s="1"/>
    </row>
    <row r="15" spans="1:28" ht="14.25" customHeight="1" thickBot="1" x14ac:dyDescent="0.35">
      <c r="A15" s="8" t="s">
        <v>47</v>
      </c>
      <c r="B15" s="9" t="s">
        <v>576</v>
      </c>
      <c r="C15" s="9" t="s">
        <v>576</v>
      </c>
      <c r="D15" s="10" t="s">
        <v>14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15</v>
      </c>
      <c r="L15" s="10" t="s">
        <v>15</v>
      </c>
      <c r="M15" s="10" t="s">
        <v>26</v>
      </c>
      <c r="N15" s="10">
        <v>255.49</v>
      </c>
      <c r="O15" s="27" t="s">
        <v>27</v>
      </c>
      <c r="P15" s="12" t="s">
        <v>48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91" t="s">
        <v>631</v>
      </c>
      <c r="T15" s="94">
        <f>SUMIFS(Dmart_sales_data[sales],Dmart_sales_data[Category],"Electronics",Dmart_sales_data[Updated region],"North",Dmart_sales_data[discount],"&gt;0.40")</f>
        <v>36091.269999999997</v>
      </c>
      <c r="U15" s="19"/>
      <c r="V15" s="103" t="s">
        <v>656</v>
      </c>
      <c r="W15" s="104" cm="1">
        <f t="array" ref="W15">COUNTIF(Region,"East")</f>
        <v>125</v>
      </c>
      <c r="X15" s="1"/>
      <c r="Y15" s="1"/>
      <c r="Z15" s="1"/>
      <c r="AA15" s="1"/>
      <c r="AB15" s="1"/>
    </row>
    <row r="16" spans="1:28" ht="14.25" customHeight="1" thickBot="1" x14ac:dyDescent="0.35">
      <c r="A16" s="13" t="s">
        <v>49</v>
      </c>
      <c r="B16" s="14" t="s">
        <v>24</v>
      </c>
      <c r="C16" s="14" t="s">
        <v>24</v>
      </c>
      <c r="D16" s="15" t="s">
        <v>14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20</v>
      </c>
      <c r="M16" s="15" t="s">
        <v>16</v>
      </c>
      <c r="N16" s="15">
        <v>804.36</v>
      </c>
      <c r="O16" s="27" t="s">
        <v>27</v>
      </c>
      <c r="P16" s="17" t="s">
        <v>39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05" t="s">
        <v>657</v>
      </c>
      <c r="W16" s="106" cm="1">
        <f t="array" ref="W16">COUNTIF(Region,"West")</f>
        <v>125</v>
      </c>
      <c r="X16" s="1"/>
      <c r="Y16" s="1"/>
      <c r="Z16" s="1"/>
      <c r="AA16" s="1"/>
      <c r="AB16" s="1"/>
    </row>
    <row r="17" spans="1:28" ht="14.25" customHeight="1" thickBot="1" x14ac:dyDescent="0.35">
      <c r="A17" s="8" t="s">
        <v>50</v>
      </c>
      <c r="B17" s="9" t="s">
        <v>29</v>
      </c>
      <c r="C17" s="9" t="s">
        <v>29</v>
      </c>
      <c r="D17" s="10" t="s">
        <v>37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15</v>
      </c>
      <c r="L17" s="10" t="s">
        <v>15</v>
      </c>
      <c r="M17" s="10" t="s">
        <v>21</v>
      </c>
      <c r="N17" s="10">
        <v>284.91000000000003</v>
      </c>
      <c r="O17" s="27" t="s">
        <v>41</v>
      </c>
      <c r="P17" s="12" t="s">
        <v>41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51</v>
      </c>
      <c r="B18" s="14" t="s">
        <v>13</v>
      </c>
      <c r="C18" s="4" t="s">
        <v>13</v>
      </c>
      <c r="D18" s="15" t="s">
        <v>19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15</v>
      </c>
      <c r="L18" s="15" t="s">
        <v>15</v>
      </c>
      <c r="M18" s="15" t="s">
        <v>21</v>
      </c>
      <c r="N18" s="15">
        <v>504.83</v>
      </c>
      <c r="O18" s="27" t="s">
        <v>17</v>
      </c>
      <c r="P18" s="17" t="s">
        <v>52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11" t="s">
        <v>638</v>
      </c>
      <c r="T18" s="88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53</v>
      </c>
      <c r="B19" s="9" t="s">
        <v>576</v>
      </c>
      <c r="C19" s="9" t="s">
        <v>576</v>
      </c>
      <c r="D19" s="10" t="s">
        <v>14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20</v>
      </c>
      <c r="M19" s="10" t="s">
        <v>21</v>
      </c>
      <c r="N19" s="10">
        <v>978.07</v>
      </c>
      <c r="O19" s="27" t="s">
        <v>41</v>
      </c>
      <c r="P19" s="12" t="s">
        <v>44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95" t="s">
        <v>637</v>
      </c>
      <c r="T19" s="96">
        <f>COUNT(sales)</f>
        <v>498</v>
      </c>
      <c r="U19" s="1"/>
      <c r="V19" s="107" t="s">
        <v>660</v>
      </c>
      <c r="W19" s="108" cm="1">
        <f t="array" ref="W19">SUMIF(order_date,"&lt;1-01-2024",sales)</f>
        <v>654586.69000000018</v>
      </c>
      <c r="X19" s="1"/>
      <c r="Y19" s="1"/>
      <c r="Z19" s="1"/>
      <c r="AA19" s="1"/>
      <c r="AB19" s="1"/>
    </row>
    <row r="20" spans="1:28" ht="14.25" customHeight="1" thickBot="1" x14ac:dyDescent="0.35">
      <c r="A20" s="13" t="s">
        <v>54</v>
      </c>
      <c r="B20" s="14" t="s">
        <v>24</v>
      </c>
      <c r="C20" s="14" t="s">
        <v>24</v>
      </c>
      <c r="D20" s="15" t="s">
        <v>14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15</v>
      </c>
      <c r="L20" s="15" t="s">
        <v>15</v>
      </c>
      <c r="M20" s="15" t="s">
        <v>16</v>
      </c>
      <c r="N20" s="15">
        <v>260.95</v>
      </c>
      <c r="O20" s="27" t="s">
        <v>79</v>
      </c>
      <c r="P20" s="17" t="s">
        <v>55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97" t="s">
        <v>661</v>
      </c>
      <c r="W20" s="109" cm="1">
        <f t="array" ref="W20">SUMIF(order_date,"&gt;30-06-2024",sales)</f>
        <v>368049.34999999992</v>
      </c>
      <c r="X20" s="1"/>
      <c r="Y20" s="1"/>
      <c r="Z20" s="1"/>
      <c r="AA20" s="1"/>
      <c r="AB20" s="1"/>
    </row>
    <row r="21" spans="1:28" ht="14.25" customHeight="1" thickBot="1" x14ac:dyDescent="0.35">
      <c r="A21" s="8" t="s">
        <v>56</v>
      </c>
      <c r="B21" s="9" t="s">
        <v>29</v>
      </c>
      <c r="C21" s="9" t="s">
        <v>29</v>
      </c>
      <c r="D21" s="10" t="s">
        <v>34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20</v>
      </c>
      <c r="M21" s="10" t="s">
        <v>21</v>
      </c>
      <c r="N21" s="10">
        <v>727.29</v>
      </c>
      <c r="O21" s="27" t="s">
        <v>27</v>
      </c>
      <c r="P21" s="12" t="s">
        <v>39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87" t="s">
        <v>639</v>
      </c>
      <c r="T21" s="86"/>
      <c r="U21" s="1"/>
      <c r="V21" s="1"/>
      <c r="W21" s="1"/>
      <c r="X21" s="1"/>
      <c r="Y21" s="1"/>
      <c r="Z21" s="1"/>
      <c r="AA21" s="1"/>
      <c r="AB21" s="1"/>
    </row>
    <row r="22" spans="1:28" ht="14.25" customHeight="1" thickBot="1" x14ac:dyDescent="0.35">
      <c r="A22" s="13" t="s">
        <v>57</v>
      </c>
      <c r="B22" s="14" t="s">
        <v>13</v>
      </c>
      <c r="C22" s="4" t="s">
        <v>13</v>
      </c>
      <c r="D22" s="15" t="s">
        <v>25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20</v>
      </c>
      <c r="M22" s="15" t="s">
        <v>26</v>
      </c>
      <c r="N22" s="15">
        <v>798.81</v>
      </c>
      <c r="O22" s="27" t="s">
        <v>35</v>
      </c>
      <c r="P22" s="17" t="s">
        <v>58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89" t="s">
        <v>640</v>
      </c>
      <c r="T22" s="93" cm="1">
        <f t="array" ref="T22">COUNTIF(transactions,"Cash")</f>
        <v>185</v>
      </c>
      <c r="U22" s="1"/>
      <c r="V22" s="97" t="s">
        <v>662</v>
      </c>
      <c r="W22" s="98" cm="1">
        <f t="array" ref="W22">COUNTIF(payment_mode,"UPI")</f>
        <v>149</v>
      </c>
      <c r="X22" s="1"/>
      <c r="Y22" s="1"/>
      <c r="Z22" s="1"/>
      <c r="AA22" s="1"/>
      <c r="AB22" s="1"/>
    </row>
    <row r="23" spans="1:28" ht="14.25" customHeight="1" x14ac:dyDescent="0.3">
      <c r="A23" s="8" t="s">
        <v>59</v>
      </c>
      <c r="B23" s="9" t="s">
        <v>576</v>
      </c>
      <c r="C23" s="9" t="s">
        <v>576</v>
      </c>
      <c r="D23" s="10" t="s">
        <v>34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15</v>
      </c>
      <c r="L23" s="10" t="s">
        <v>15</v>
      </c>
      <c r="M23" s="10" t="s">
        <v>26</v>
      </c>
      <c r="N23" s="10">
        <v>920.22</v>
      </c>
      <c r="O23" s="27" t="s">
        <v>27</v>
      </c>
      <c r="P23" s="12" t="s">
        <v>39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89" t="s">
        <v>641</v>
      </c>
      <c r="T23" s="93" cm="1">
        <f t="array" ref="T23">COUNTIF(transactions,"Card")</f>
        <v>164</v>
      </c>
      <c r="U23" s="1"/>
      <c r="V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60</v>
      </c>
      <c r="B24" s="14" t="s">
        <v>24</v>
      </c>
      <c r="C24" s="14" t="s">
        <v>24</v>
      </c>
      <c r="D24" s="15" t="s">
        <v>37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20</v>
      </c>
      <c r="M24" s="15" t="s">
        <v>21</v>
      </c>
      <c r="N24" s="15">
        <v>931.37</v>
      </c>
      <c r="O24" s="27" t="s">
        <v>41</v>
      </c>
      <c r="P24" s="17" t="s">
        <v>41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91" t="s">
        <v>642</v>
      </c>
      <c r="T24" s="96" cm="1">
        <f t="array" ref="T24">COUNTIF(transactions,"UPI")</f>
        <v>149</v>
      </c>
      <c r="U24" s="1"/>
      <c r="V24" s="132" t="s">
        <v>612</v>
      </c>
      <c r="W24" s="132">
        <f>SUM(sales)</f>
        <v>1322669.1900000023</v>
      </c>
      <c r="X24" s="1"/>
      <c r="Y24" s="1"/>
      <c r="Z24" s="1"/>
      <c r="AA24" s="1"/>
      <c r="AB24" s="1"/>
    </row>
    <row r="25" spans="1:28" ht="14.25" customHeight="1" thickBot="1" x14ac:dyDescent="0.35">
      <c r="A25" s="8" t="s">
        <v>61</v>
      </c>
      <c r="B25" s="9" t="s">
        <v>29</v>
      </c>
      <c r="C25" s="9" t="s">
        <v>29</v>
      </c>
      <c r="D25" s="10" t="s">
        <v>19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20</v>
      </c>
      <c r="M25" s="10" t="s">
        <v>26</v>
      </c>
      <c r="N25" s="10">
        <v>375.7</v>
      </c>
      <c r="O25" s="27" t="s">
        <v>35</v>
      </c>
      <c r="P25" s="12" t="s">
        <v>35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97" t="s">
        <v>643</v>
      </c>
      <c r="T25" s="98" cm="1">
        <f t="array" ref="T25">COUNTIF(sales,"&gt;4000")</f>
        <v>115</v>
      </c>
      <c r="U25" s="1"/>
      <c r="V25" s="132" t="s">
        <v>678</v>
      </c>
      <c r="W25" s="132" cm="1">
        <f t="array" ref="W25">SUBTOTAL(9,sales)</f>
        <v>1322669.1900000023</v>
      </c>
      <c r="X25" s="1"/>
      <c r="Y25" s="1"/>
      <c r="Z25" s="1"/>
      <c r="AA25" s="1"/>
      <c r="AB25" s="1"/>
    </row>
    <row r="26" spans="1:28" ht="14.25" customHeight="1" x14ac:dyDescent="0.3">
      <c r="A26" s="13" t="s">
        <v>62</v>
      </c>
      <c r="B26" s="14" t="s">
        <v>13</v>
      </c>
      <c r="C26" s="4" t="s">
        <v>13</v>
      </c>
      <c r="D26" s="15" t="s">
        <v>25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20</v>
      </c>
      <c r="M26" s="15" t="s">
        <v>26</v>
      </c>
      <c r="N26" s="15">
        <v>1072.26</v>
      </c>
      <c r="O26" s="27" t="s">
        <v>100</v>
      </c>
      <c r="P26" s="17" t="s">
        <v>63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64</v>
      </c>
      <c r="B27" s="9" t="s">
        <v>576</v>
      </c>
      <c r="C27" s="9" t="s">
        <v>576</v>
      </c>
      <c r="D27" s="10" t="s">
        <v>34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20</v>
      </c>
      <c r="M27" s="10" t="s">
        <v>21</v>
      </c>
      <c r="N27" s="10">
        <v>526.66</v>
      </c>
      <c r="O27" s="27" t="s">
        <v>100</v>
      </c>
      <c r="P27" s="12" t="s">
        <v>65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66</v>
      </c>
      <c r="B28" s="14" t="s">
        <v>24</v>
      </c>
      <c r="C28" s="14" t="s">
        <v>24</v>
      </c>
      <c r="D28" s="15" t="s">
        <v>14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15</v>
      </c>
      <c r="L28" s="15" t="s">
        <v>15</v>
      </c>
      <c r="M28" s="15" t="s">
        <v>16</v>
      </c>
      <c r="N28" s="15">
        <v>207.61</v>
      </c>
      <c r="O28" s="27" t="s">
        <v>35</v>
      </c>
      <c r="P28" s="17" t="s">
        <v>58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67</v>
      </c>
      <c r="B29" s="9" t="s">
        <v>29</v>
      </c>
      <c r="C29" s="9" t="s">
        <v>29</v>
      </c>
      <c r="D29" s="10" t="s">
        <v>14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32</v>
      </c>
      <c r="M29" s="10" t="s">
        <v>21</v>
      </c>
      <c r="N29" s="10">
        <v>689.74</v>
      </c>
      <c r="O29" s="27" t="s">
        <v>41</v>
      </c>
      <c r="P29" s="12" t="s">
        <v>68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10" t="s">
        <v>648</v>
      </c>
      <c r="T29" s="86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69</v>
      </c>
      <c r="B30" s="14" t="s">
        <v>13</v>
      </c>
      <c r="C30" s="4" t="s">
        <v>13</v>
      </c>
      <c r="D30" s="15" t="s">
        <v>25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15</v>
      </c>
      <c r="L30" s="15" t="s">
        <v>15</v>
      </c>
      <c r="M30" s="15" t="s">
        <v>16</v>
      </c>
      <c r="N30" s="15">
        <v>43.58</v>
      </c>
      <c r="O30" s="27" t="s">
        <v>41</v>
      </c>
      <c r="P30" s="17" t="s">
        <v>41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89" t="s">
        <v>644</v>
      </c>
      <c r="T30" s="93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70</v>
      </c>
      <c r="B31" s="9" t="s">
        <v>576</v>
      </c>
      <c r="C31" s="9" t="s">
        <v>576</v>
      </c>
      <c r="D31" s="10" t="s">
        <v>14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32</v>
      </c>
      <c r="M31" s="10" t="s">
        <v>26</v>
      </c>
      <c r="N31" s="10">
        <v>422.33</v>
      </c>
      <c r="O31" s="27" t="s">
        <v>35</v>
      </c>
      <c r="P31" s="12" t="s">
        <v>35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89" t="s">
        <v>645</v>
      </c>
      <c r="T31" s="93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71</v>
      </c>
      <c r="B32" s="14" t="s">
        <v>24</v>
      </c>
      <c r="C32" s="14" t="s">
        <v>24</v>
      </c>
      <c r="D32" s="15" t="s">
        <v>34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32</v>
      </c>
      <c r="M32" s="15" t="s">
        <v>21</v>
      </c>
      <c r="N32" s="15">
        <v>123.49</v>
      </c>
      <c r="O32" s="27" t="s">
        <v>41</v>
      </c>
      <c r="P32" s="17" t="s">
        <v>68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89" t="s">
        <v>646</v>
      </c>
      <c r="T32" s="93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72</v>
      </c>
      <c r="B33" s="9" t="s">
        <v>29</v>
      </c>
      <c r="C33" s="9" t="s">
        <v>29</v>
      </c>
      <c r="D33" s="10" t="s">
        <v>34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32</v>
      </c>
      <c r="M33" s="10" t="s">
        <v>26</v>
      </c>
      <c r="N33" s="10">
        <v>697.03</v>
      </c>
      <c r="O33" s="27" t="s">
        <v>17</v>
      </c>
      <c r="P33" s="12" t="s">
        <v>17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91" t="s">
        <v>647</v>
      </c>
      <c r="T33" s="96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73</v>
      </c>
      <c r="B34" s="14" t="s">
        <v>13</v>
      </c>
      <c r="C34" s="4" t="s">
        <v>13</v>
      </c>
      <c r="D34" s="15" t="s">
        <v>14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20</v>
      </c>
      <c r="M34" s="15" t="s">
        <v>26</v>
      </c>
      <c r="N34" s="15">
        <v>178.58</v>
      </c>
      <c r="O34" s="27" t="s">
        <v>79</v>
      </c>
      <c r="P34" s="17" t="s">
        <v>55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thickBot="1" x14ac:dyDescent="0.35">
      <c r="A35" s="8" t="s">
        <v>74</v>
      </c>
      <c r="B35" s="9" t="s">
        <v>576</v>
      </c>
      <c r="C35" s="9" t="s">
        <v>576</v>
      </c>
      <c r="D35" s="10" t="s">
        <v>14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32</v>
      </c>
      <c r="M35" s="10" t="s">
        <v>16</v>
      </c>
      <c r="N35" s="10">
        <v>1002.97</v>
      </c>
      <c r="O35" s="27" t="s">
        <v>27</v>
      </c>
      <c r="P35" s="12" t="s">
        <v>27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thickBot="1" x14ac:dyDescent="0.35">
      <c r="A36" s="13" t="s">
        <v>75</v>
      </c>
      <c r="B36" s="14" t="s">
        <v>24</v>
      </c>
      <c r="C36" s="14" t="s">
        <v>24</v>
      </c>
      <c r="D36" s="15" t="s">
        <v>37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20</v>
      </c>
      <c r="M36" s="15" t="s">
        <v>26</v>
      </c>
      <c r="N36" s="15">
        <v>320.43</v>
      </c>
      <c r="O36" s="27" t="s">
        <v>17</v>
      </c>
      <c r="P36" s="17" t="s">
        <v>17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12" t="s">
        <v>649</v>
      </c>
      <c r="T36" s="113" cm="1">
        <f t="array" ref="T36">COUNTIFS(customer_type,"Member",payment_mode,"Card") + COUNTIFS(customer_type,"Member",payment_mode,"UPI")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76</v>
      </c>
      <c r="B37" s="9" t="s">
        <v>29</v>
      </c>
      <c r="C37" s="9" t="s">
        <v>29</v>
      </c>
      <c r="D37" s="10" t="s">
        <v>19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20</v>
      </c>
      <c r="M37" s="10" t="s">
        <v>16</v>
      </c>
      <c r="N37" s="10">
        <v>177.84</v>
      </c>
      <c r="O37" s="27" t="s">
        <v>79</v>
      </c>
      <c r="P37" s="12" t="s">
        <v>55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77</v>
      </c>
      <c r="B38" s="14" t="s">
        <v>13</v>
      </c>
      <c r="C38" s="4" t="s">
        <v>13</v>
      </c>
      <c r="D38" s="15" t="s">
        <v>25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20</v>
      </c>
      <c r="M38" s="15" t="s">
        <v>21</v>
      </c>
      <c r="N38" s="15">
        <v>528.38</v>
      </c>
      <c r="O38" s="27" t="s">
        <v>17</v>
      </c>
      <c r="P38" s="17" t="s">
        <v>17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78</v>
      </c>
      <c r="B39" s="9" t="s">
        <v>576</v>
      </c>
      <c r="C39" s="9" t="s">
        <v>576</v>
      </c>
      <c r="D39" s="10" t="s">
        <v>34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15</v>
      </c>
      <c r="L39" s="10" t="s">
        <v>15</v>
      </c>
      <c r="M39" s="10" t="s">
        <v>26</v>
      </c>
      <c r="N39" s="10">
        <v>586.69000000000005</v>
      </c>
      <c r="O39" s="27" t="s">
        <v>79</v>
      </c>
      <c r="P39" s="12" t="s">
        <v>79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80</v>
      </c>
      <c r="B40" s="14" t="s">
        <v>24</v>
      </c>
      <c r="C40" s="14" t="s">
        <v>24</v>
      </c>
      <c r="D40" s="15" t="s">
        <v>25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32</v>
      </c>
      <c r="M40" s="15" t="s">
        <v>16</v>
      </c>
      <c r="N40" s="15">
        <v>742.22</v>
      </c>
      <c r="O40" s="27" t="s">
        <v>35</v>
      </c>
      <c r="P40" s="17" t="s">
        <v>35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81</v>
      </c>
      <c r="B41" s="9" t="s">
        <v>29</v>
      </c>
      <c r="C41" s="9" t="s">
        <v>29</v>
      </c>
      <c r="D41" s="10" t="s">
        <v>37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15</v>
      </c>
      <c r="L41" s="10" t="s">
        <v>15</v>
      </c>
      <c r="M41" s="10" t="s">
        <v>21</v>
      </c>
      <c r="N41" s="10">
        <v>119.91</v>
      </c>
      <c r="O41" s="27" t="s">
        <v>27</v>
      </c>
      <c r="P41" s="12" t="s">
        <v>39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82</v>
      </c>
      <c r="B42" s="14" t="s">
        <v>13</v>
      </c>
      <c r="C42" s="4" t="s">
        <v>13</v>
      </c>
      <c r="D42" s="15" t="s">
        <v>34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20</v>
      </c>
      <c r="M42" s="15" t="s">
        <v>26</v>
      </c>
      <c r="N42" s="15">
        <v>392.57</v>
      </c>
      <c r="O42" s="27" t="s">
        <v>79</v>
      </c>
      <c r="P42" s="17" t="s">
        <v>79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83</v>
      </c>
      <c r="B43" s="9" t="s">
        <v>576</v>
      </c>
      <c r="C43" s="9" t="s">
        <v>576</v>
      </c>
      <c r="D43" s="10" t="s">
        <v>37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15</v>
      </c>
      <c r="L43" s="10" t="s">
        <v>15</v>
      </c>
      <c r="M43" s="10" t="s">
        <v>21</v>
      </c>
      <c r="N43" s="10">
        <v>765.08</v>
      </c>
      <c r="O43" s="27" t="s">
        <v>41</v>
      </c>
      <c r="P43" s="12" t="s">
        <v>68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84</v>
      </c>
      <c r="B44" s="14" t="s">
        <v>24</v>
      </c>
      <c r="C44" s="14" t="s">
        <v>24</v>
      </c>
      <c r="D44" s="15" t="s">
        <v>37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20</v>
      </c>
      <c r="M44" s="15" t="s">
        <v>26</v>
      </c>
      <c r="N44" s="15">
        <v>48.54</v>
      </c>
      <c r="O44" s="27" t="s">
        <v>41</v>
      </c>
      <c r="P44" s="17" t="s">
        <v>68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85</v>
      </c>
      <c r="B45" s="9" t="s">
        <v>29</v>
      </c>
      <c r="C45" s="9" t="s">
        <v>29</v>
      </c>
      <c r="D45" s="10" t="s">
        <v>14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15</v>
      </c>
      <c r="L45" s="10" t="s">
        <v>15</v>
      </c>
      <c r="M45" s="10" t="s">
        <v>26</v>
      </c>
      <c r="N45" s="10">
        <v>235.05</v>
      </c>
      <c r="O45" s="27" t="s">
        <v>41</v>
      </c>
      <c r="P45" s="12" t="s">
        <v>41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86</v>
      </c>
      <c r="B46" s="14" t="s">
        <v>13</v>
      </c>
      <c r="C46" s="4" t="s">
        <v>13</v>
      </c>
      <c r="D46" s="15" t="s">
        <v>25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20</v>
      </c>
      <c r="M46" s="15" t="s">
        <v>21</v>
      </c>
      <c r="N46" s="15">
        <v>129.80000000000001</v>
      </c>
      <c r="O46" s="27" t="s">
        <v>41</v>
      </c>
      <c r="P46" s="17" t="s">
        <v>41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87</v>
      </c>
      <c r="B47" s="9" t="s">
        <v>576</v>
      </c>
      <c r="C47" s="9" t="s">
        <v>576</v>
      </c>
      <c r="D47" s="10" t="s">
        <v>25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20</v>
      </c>
      <c r="M47" s="10" t="s">
        <v>26</v>
      </c>
      <c r="N47" s="10">
        <v>588.79</v>
      </c>
      <c r="O47" s="27" t="s">
        <v>17</v>
      </c>
      <c r="P47" s="12" t="s">
        <v>17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88</v>
      </c>
      <c r="B48" s="14" t="s">
        <v>24</v>
      </c>
      <c r="C48" s="14" t="s">
        <v>24</v>
      </c>
      <c r="D48" s="15" t="s">
        <v>14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15</v>
      </c>
      <c r="L48" s="15" t="s">
        <v>15</v>
      </c>
      <c r="M48" s="15" t="s">
        <v>21</v>
      </c>
      <c r="N48" s="15">
        <v>127.89</v>
      </c>
      <c r="O48" s="27" t="s">
        <v>17</v>
      </c>
      <c r="P48" s="17" t="s">
        <v>52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89</v>
      </c>
      <c r="B49" s="9" t="s">
        <v>29</v>
      </c>
      <c r="C49" s="9" t="s">
        <v>29</v>
      </c>
      <c r="D49" s="10" t="s">
        <v>25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20</v>
      </c>
      <c r="M49" s="10" t="s">
        <v>26</v>
      </c>
      <c r="N49" s="10">
        <v>249.34</v>
      </c>
      <c r="O49" s="27" t="s">
        <v>35</v>
      </c>
      <c r="P49" s="12" t="s">
        <v>30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90</v>
      </c>
      <c r="B50" s="14" t="s">
        <v>13</v>
      </c>
      <c r="C50" s="4" t="s">
        <v>13</v>
      </c>
      <c r="D50" s="15" t="s">
        <v>14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32</v>
      </c>
      <c r="M50" s="15" t="s">
        <v>26</v>
      </c>
      <c r="N50" s="15">
        <v>1097.26</v>
      </c>
      <c r="O50" s="27" t="s">
        <v>35</v>
      </c>
      <c r="P50" s="17" t="s">
        <v>58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91</v>
      </c>
      <c r="B51" s="9" t="s">
        <v>576</v>
      </c>
      <c r="C51" s="9" t="s">
        <v>576</v>
      </c>
      <c r="D51" s="10" t="s">
        <v>34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15</v>
      </c>
      <c r="L51" s="10" t="s">
        <v>15</v>
      </c>
      <c r="M51" s="10" t="s">
        <v>26</v>
      </c>
      <c r="N51" s="10">
        <v>1139.21</v>
      </c>
      <c r="O51" s="27" t="s">
        <v>27</v>
      </c>
      <c r="P51" s="12" t="s">
        <v>39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92</v>
      </c>
      <c r="B52" s="14" t="s">
        <v>24</v>
      </c>
      <c r="C52" s="14" t="s">
        <v>24</v>
      </c>
      <c r="D52" s="15" t="s">
        <v>37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15</v>
      </c>
      <c r="L52" s="15" t="s">
        <v>15</v>
      </c>
      <c r="M52" s="15" t="s">
        <v>16</v>
      </c>
      <c r="N52" s="15">
        <v>433.9</v>
      </c>
      <c r="O52" s="27" t="s">
        <v>27</v>
      </c>
      <c r="P52" s="17" t="s">
        <v>27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93</v>
      </c>
      <c r="B53" s="9" t="s">
        <v>29</v>
      </c>
      <c r="C53" s="9" t="s">
        <v>29</v>
      </c>
      <c r="D53" s="10" t="s">
        <v>37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20</v>
      </c>
      <c r="M53" s="10" t="s">
        <v>26</v>
      </c>
      <c r="N53" s="10">
        <v>687.58</v>
      </c>
      <c r="O53" s="27" t="s">
        <v>79</v>
      </c>
      <c r="P53" s="12" t="s">
        <v>22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94</v>
      </c>
      <c r="B54" s="14" t="s">
        <v>13</v>
      </c>
      <c r="C54" s="4" t="s">
        <v>13</v>
      </c>
      <c r="D54" s="15" t="s">
        <v>25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15</v>
      </c>
      <c r="L54" s="15" t="s">
        <v>15</v>
      </c>
      <c r="M54" s="15" t="s">
        <v>26</v>
      </c>
      <c r="N54" s="15">
        <v>114.25</v>
      </c>
      <c r="O54" s="27" t="s">
        <v>17</v>
      </c>
      <c r="P54" s="17" t="s">
        <v>95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96</v>
      </c>
      <c r="B55" s="9" t="s">
        <v>576</v>
      </c>
      <c r="C55" s="9" t="s">
        <v>576</v>
      </c>
      <c r="D55" s="10" t="s">
        <v>19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32</v>
      </c>
      <c r="M55" s="10" t="s">
        <v>16</v>
      </c>
      <c r="N55" s="10">
        <v>20.43</v>
      </c>
      <c r="O55" s="27" t="s">
        <v>27</v>
      </c>
      <c r="P55" s="12" t="s">
        <v>39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97</v>
      </c>
      <c r="B56" s="14" t="s">
        <v>24</v>
      </c>
      <c r="C56" s="14" t="s">
        <v>24</v>
      </c>
      <c r="D56" s="15" t="s">
        <v>37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15</v>
      </c>
      <c r="L56" s="15" t="s">
        <v>15</v>
      </c>
      <c r="M56" s="15" t="s">
        <v>16</v>
      </c>
      <c r="N56" s="15">
        <v>237.01</v>
      </c>
      <c r="O56" s="27" t="s">
        <v>41</v>
      </c>
      <c r="P56" s="17" t="s">
        <v>41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98</v>
      </c>
      <c r="B57" s="9" t="s">
        <v>29</v>
      </c>
      <c r="C57" s="9" t="s">
        <v>29</v>
      </c>
      <c r="D57" s="10" t="s">
        <v>14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32</v>
      </c>
      <c r="M57" s="10" t="s">
        <v>26</v>
      </c>
      <c r="N57" s="10">
        <v>278.48</v>
      </c>
      <c r="O57" s="27" t="s">
        <v>35</v>
      </c>
      <c r="P57" s="12" t="s">
        <v>35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99</v>
      </c>
      <c r="B58" s="14" t="s">
        <v>13</v>
      </c>
      <c r="C58" s="4" t="s">
        <v>13</v>
      </c>
      <c r="D58" s="15" t="s">
        <v>19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15</v>
      </c>
      <c r="L58" s="15" t="s">
        <v>15</v>
      </c>
      <c r="M58" s="15" t="s">
        <v>26</v>
      </c>
      <c r="N58" s="15">
        <v>356.81</v>
      </c>
      <c r="O58" s="27" t="s">
        <v>100</v>
      </c>
      <c r="P58" s="17" t="s">
        <v>100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101</v>
      </c>
      <c r="B59" s="9" t="s">
        <v>576</v>
      </c>
      <c r="C59" s="9" t="s">
        <v>576</v>
      </c>
      <c r="D59" s="10" t="s">
        <v>19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32</v>
      </c>
      <c r="M59" s="10" t="s">
        <v>26</v>
      </c>
      <c r="N59" s="10">
        <v>581.75</v>
      </c>
      <c r="O59" s="27" t="s">
        <v>17</v>
      </c>
      <c r="P59" s="12" t="s">
        <v>95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102</v>
      </c>
      <c r="B60" s="14" t="s">
        <v>24</v>
      </c>
      <c r="C60" s="14" t="s">
        <v>24</v>
      </c>
      <c r="D60" s="15" t="s">
        <v>37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15</v>
      </c>
      <c r="L60" s="15" t="s">
        <v>15</v>
      </c>
      <c r="M60" s="15" t="s">
        <v>21</v>
      </c>
      <c r="N60" s="15">
        <v>1320.22</v>
      </c>
      <c r="O60" s="27" t="s">
        <v>100</v>
      </c>
      <c r="P60" s="17" t="s">
        <v>63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103</v>
      </c>
      <c r="B61" s="9" t="s">
        <v>29</v>
      </c>
      <c r="C61" s="9" t="s">
        <v>29</v>
      </c>
      <c r="D61" s="10" t="s">
        <v>37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32</v>
      </c>
      <c r="M61" s="10" t="s">
        <v>21</v>
      </c>
      <c r="N61" s="10">
        <v>42.23</v>
      </c>
      <c r="O61" s="27" t="s">
        <v>17</v>
      </c>
      <c r="P61" s="12" t="s">
        <v>17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104</v>
      </c>
      <c r="B62" s="14" t="s">
        <v>13</v>
      </c>
      <c r="C62" s="4" t="s">
        <v>13</v>
      </c>
      <c r="D62" s="15" t="s">
        <v>37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20</v>
      </c>
      <c r="M62" s="15" t="s">
        <v>21</v>
      </c>
      <c r="N62" s="15">
        <v>835.81</v>
      </c>
      <c r="O62" s="27" t="s">
        <v>100</v>
      </c>
      <c r="P62" s="17" t="s">
        <v>65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105</v>
      </c>
      <c r="B63" s="9" t="s">
        <v>576</v>
      </c>
      <c r="C63" s="9" t="s">
        <v>576</v>
      </c>
      <c r="D63" s="10" t="s">
        <v>14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15</v>
      </c>
      <c r="L63" s="10" t="s">
        <v>15</v>
      </c>
      <c r="M63" s="10" t="s">
        <v>26</v>
      </c>
      <c r="N63" s="10">
        <v>54.58</v>
      </c>
      <c r="O63" s="27" t="s">
        <v>35</v>
      </c>
      <c r="P63" s="12" t="s">
        <v>30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106</v>
      </c>
      <c r="B64" s="14" t="s">
        <v>24</v>
      </c>
      <c r="C64" s="14" t="s">
        <v>24</v>
      </c>
      <c r="D64" s="15" t="s">
        <v>19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15</v>
      </c>
      <c r="L64" s="15" t="s">
        <v>15</v>
      </c>
      <c r="M64" s="15" t="s">
        <v>26</v>
      </c>
      <c r="N64" s="15">
        <v>922.83</v>
      </c>
      <c r="O64" s="27" t="s">
        <v>100</v>
      </c>
      <c r="P64" s="17" t="s">
        <v>100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107</v>
      </c>
      <c r="B65" s="9" t="s">
        <v>29</v>
      </c>
      <c r="C65" s="9" t="s">
        <v>29</v>
      </c>
      <c r="D65" s="10" t="s">
        <v>25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32</v>
      </c>
      <c r="M65" s="10" t="s">
        <v>21</v>
      </c>
      <c r="N65" s="10">
        <v>36.86</v>
      </c>
      <c r="O65" s="27" t="s">
        <v>100</v>
      </c>
      <c r="P65" s="12" t="s">
        <v>100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108</v>
      </c>
      <c r="B66" s="14" t="s">
        <v>13</v>
      </c>
      <c r="C66" s="4" t="s">
        <v>13</v>
      </c>
      <c r="D66" s="15" t="s">
        <v>14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15</v>
      </c>
      <c r="L66" s="15" t="s">
        <v>15</v>
      </c>
      <c r="M66" s="15" t="s">
        <v>16</v>
      </c>
      <c r="N66" s="15">
        <v>499.78</v>
      </c>
      <c r="O66" s="27" t="s">
        <v>35</v>
      </c>
      <c r="P66" s="17" t="s">
        <v>30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109</v>
      </c>
      <c r="B67" s="9" t="s">
        <v>576</v>
      </c>
      <c r="C67" s="9" t="s">
        <v>576</v>
      </c>
      <c r="D67" s="10" t="s">
        <v>34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32</v>
      </c>
      <c r="M67" s="10" t="s">
        <v>16</v>
      </c>
      <c r="N67" s="10">
        <v>757.48</v>
      </c>
      <c r="O67" s="27" t="s">
        <v>41</v>
      </c>
      <c r="P67" s="12" t="s">
        <v>41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110</v>
      </c>
      <c r="B68" s="14" t="s">
        <v>24</v>
      </c>
      <c r="C68" s="14" t="s">
        <v>24</v>
      </c>
      <c r="D68" s="15" t="s">
        <v>37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20</v>
      </c>
      <c r="M68" s="15" t="s">
        <v>26</v>
      </c>
      <c r="N68" s="15">
        <v>17.88</v>
      </c>
      <c r="O68" s="27" t="s">
        <v>35</v>
      </c>
      <c r="P68" s="17" t="s">
        <v>35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111</v>
      </c>
      <c r="B69" s="9" t="s">
        <v>29</v>
      </c>
      <c r="C69" s="9" t="s">
        <v>29</v>
      </c>
      <c r="D69" s="10" t="s">
        <v>19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32</v>
      </c>
      <c r="M69" s="10" t="s">
        <v>26</v>
      </c>
      <c r="N69" s="10">
        <v>408.02</v>
      </c>
      <c r="O69" s="27" t="s">
        <v>41</v>
      </c>
      <c r="P69" s="12" t="s">
        <v>68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112</v>
      </c>
      <c r="B70" s="14" t="s">
        <v>13</v>
      </c>
      <c r="C70" s="4" t="s">
        <v>13</v>
      </c>
      <c r="D70" s="15" t="s">
        <v>14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15</v>
      </c>
      <c r="L70" s="15" t="s">
        <v>15</v>
      </c>
      <c r="M70" s="15" t="s">
        <v>26</v>
      </c>
      <c r="N70" s="15">
        <v>542.05999999999995</v>
      </c>
      <c r="O70" s="27" t="s">
        <v>100</v>
      </c>
      <c r="P70" s="17" t="s">
        <v>100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113</v>
      </c>
      <c r="B71" s="9" t="s">
        <v>576</v>
      </c>
      <c r="C71" s="9" t="s">
        <v>576</v>
      </c>
      <c r="D71" s="10" t="s">
        <v>34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20</v>
      </c>
      <c r="M71" s="10" t="s">
        <v>21</v>
      </c>
      <c r="N71" s="10">
        <v>611.45000000000005</v>
      </c>
      <c r="O71" s="27" t="s">
        <v>35</v>
      </c>
      <c r="P71" s="12" t="s">
        <v>58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114</v>
      </c>
      <c r="B72" s="14" t="s">
        <v>24</v>
      </c>
      <c r="C72" s="14" t="s">
        <v>24</v>
      </c>
      <c r="D72" s="15" t="s">
        <v>14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32</v>
      </c>
      <c r="M72" s="15" t="s">
        <v>21</v>
      </c>
      <c r="N72" s="15">
        <v>752</v>
      </c>
      <c r="O72" s="27" t="s">
        <v>35</v>
      </c>
      <c r="P72" s="17" t="s">
        <v>35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115</v>
      </c>
      <c r="B73" s="9" t="s">
        <v>29</v>
      </c>
      <c r="C73" s="9" t="s">
        <v>29</v>
      </c>
      <c r="D73" s="10" t="s">
        <v>14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32</v>
      </c>
      <c r="M73" s="10" t="s">
        <v>21</v>
      </c>
      <c r="N73" s="10">
        <v>698.02</v>
      </c>
      <c r="O73" s="27" t="s">
        <v>79</v>
      </c>
      <c r="P73" s="12" t="s">
        <v>79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116</v>
      </c>
      <c r="B74" s="14" t="s">
        <v>13</v>
      </c>
      <c r="C74" s="4" t="s">
        <v>13</v>
      </c>
      <c r="D74" s="15" t="s">
        <v>25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20</v>
      </c>
      <c r="M74" s="15" t="s">
        <v>26</v>
      </c>
      <c r="N74" s="15">
        <v>1229.3</v>
      </c>
      <c r="O74" s="27" t="s">
        <v>100</v>
      </c>
      <c r="P74" s="17" t="s">
        <v>63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117</v>
      </c>
      <c r="B75" s="9" t="s">
        <v>576</v>
      </c>
      <c r="C75" s="9" t="s">
        <v>576</v>
      </c>
      <c r="D75" s="10" t="s">
        <v>25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15</v>
      </c>
      <c r="L75" s="10" t="s">
        <v>15</v>
      </c>
      <c r="M75" s="10" t="s">
        <v>16</v>
      </c>
      <c r="N75" s="10">
        <v>800.39</v>
      </c>
      <c r="O75" s="27" t="s">
        <v>35</v>
      </c>
      <c r="P75" s="12" t="s">
        <v>30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118</v>
      </c>
      <c r="B76" s="14" t="s">
        <v>24</v>
      </c>
      <c r="C76" s="14" t="s">
        <v>24</v>
      </c>
      <c r="D76" s="15" t="s">
        <v>14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15</v>
      </c>
      <c r="L76" s="15" t="s">
        <v>15</v>
      </c>
      <c r="M76" s="15" t="s">
        <v>21</v>
      </c>
      <c r="N76" s="15">
        <v>163.35</v>
      </c>
      <c r="O76" s="27" t="s">
        <v>17</v>
      </c>
      <c r="P76" s="17" t="s">
        <v>52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119</v>
      </c>
      <c r="B77" s="9" t="s">
        <v>29</v>
      </c>
      <c r="C77" s="9" t="s">
        <v>29</v>
      </c>
      <c r="D77" s="10" t="s">
        <v>34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15</v>
      </c>
      <c r="L77" s="10" t="s">
        <v>15</v>
      </c>
      <c r="M77" s="10" t="s">
        <v>16</v>
      </c>
      <c r="N77" s="10">
        <v>743.22</v>
      </c>
      <c r="O77" s="27" t="s">
        <v>17</v>
      </c>
      <c r="P77" s="12" t="s">
        <v>52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120</v>
      </c>
      <c r="B78" s="14" t="s">
        <v>13</v>
      </c>
      <c r="C78" s="4" t="s">
        <v>13</v>
      </c>
      <c r="D78" s="15" t="s">
        <v>19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20</v>
      </c>
      <c r="M78" s="15" t="s">
        <v>16</v>
      </c>
      <c r="N78" s="15">
        <v>1440.78</v>
      </c>
      <c r="O78" s="27" t="s">
        <v>79</v>
      </c>
      <c r="P78" s="17" t="s">
        <v>55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121</v>
      </c>
      <c r="B79" s="9" t="s">
        <v>576</v>
      </c>
      <c r="C79" s="9" t="s">
        <v>576</v>
      </c>
      <c r="D79" s="10" t="s">
        <v>19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32</v>
      </c>
      <c r="M79" s="10" t="s">
        <v>16</v>
      </c>
      <c r="N79" s="10">
        <v>336.22</v>
      </c>
      <c r="O79" s="27" t="s">
        <v>17</v>
      </c>
      <c r="P79" s="12" t="s">
        <v>95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122</v>
      </c>
      <c r="B80" s="14" t="s">
        <v>24</v>
      </c>
      <c r="C80" s="14" t="s">
        <v>24</v>
      </c>
      <c r="D80" s="15" t="s">
        <v>37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20</v>
      </c>
      <c r="M80" s="15" t="s">
        <v>16</v>
      </c>
      <c r="N80" s="15">
        <v>151.09</v>
      </c>
      <c r="O80" s="27" t="s">
        <v>35</v>
      </c>
      <c r="P80" s="17" t="s">
        <v>30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123</v>
      </c>
      <c r="B81" s="9" t="s">
        <v>29</v>
      </c>
      <c r="C81" s="9" t="s">
        <v>29</v>
      </c>
      <c r="D81" s="10" t="s">
        <v>37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32</v>
      </c>
      <c r="M81" s="10" t="s">
        <v>16</v>
      </c>
      <c r="N81" s="10">
        <v>289.32</v>
      </c>
      <c r="O81" s="27" t="s">
        <v>41</v>
      </c>
      <c r="P81" s="12" t="s">
        <v>41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124</v>
      </c>
      <c r="B82" s="14" t="s">
        <v>13</v>
      </c>
      <c r="C82" s="4" t="s">
        <v>13</v>
      </c>
      <c r="D82" s="15" t="s">
        <v>19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20</v>
      </c>
      <c r="M82" s="15" t="s">
        <v>21</v>
      </c>
      <c r="N82" s="15">
        <v>684.94</v>
      </c>
      <c r="O82" s="27" t="s">
        <v>41</v>
      </c>
      <c r="P82" s="17" t="s">
        <v>41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125</v>
      </c>
      <c r="B83" s="9" t="s">
        <v>576</v>
      </c>
      <c r="C83" s="9" t="s">
        <v>576</v>
      </c>
      <c r="D83" s="10" t="s">
        <v>14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32</v>
      </c>
      <c r="M83" s="10" t="s">
        <v>16</v>
      </c>
      <c r="N83" s="10">
        <v>175.75</v>
      </c>
      <c r="O83" s="27" t="s">
        <v>27</v>
      </c>
      <c r="P83" s="12" t="s">
        <v>39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126</v>
      </c>
      <c r="B84" s="14" t="s">
        <v>24</v>
      </c>
      <c r="C84" s="14" t="s">
        <v>24</v>
      </c>
      <c r="D84" s="15" t="s">
        <v>14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32</v>
      </c>
      <c r="M84" s="15" t="s">
        <v>26</v>
      </c>
      <c r="N84" s="15">
        <v>171.87</v>
      </c>
      <c r="O84" s="27" t="s">
        <v>17</v>
      </c>
      <c r="P84" s="17" t="s">
        <v>95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127</v>
      </c>
      <c r="B85" s="9" t="s">
        <v>29</v>
      </c>
      <c r="C85" s="9" t="s">
        <v>29</v>
      </c>
      <c r="D85" s="10" t="s">
        <v>25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20</v>
      </c>
      <c r="M85" s="10" t="s">
        <v>21</v>
      </c>
      <c r="N85" s="10">
        <v>105.25</v>
      </c>
      <c r="O85" s="27" t="s">
        <v>35</v>
      </c>
      <c r="P85" s="12" t="s">
        <v>58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128</v>
      </c>
      <c r="B86" s="14" t="s">
        <v>13</v>
      </c>
      <c r="C86" s="4" t="s">
        <v>13</v>
      </c>
      <c r="D86" s="15" t="s">
        <v>25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20</v>
      </c>
      <c r="M86" s="15" t="s">
        <v>16</v>
      </c>
      <c r="N86" s="15">
        <v>754.77</v>
      </c>
      <c r="O86" s="27" t="s">
        <v>35</v>
      </c>
      <c r="P86" s="17" t="s">
        <v>58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129</v>
      </c>
      <c r="B87" s="9" t="s">
        <v>576</v>
      </c>
      <c r="C87" s="9" t="s">
        <v>576</v>
      </c>
      <c r="D87" s="10" t="s">
        <v>37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20</v>
      </c>
      <c r="M87" s="10" t="s">
        <v>16</v>
      </c>
      <c r="N87" s="10">
        <v>705.01</v>
      </c>
      <c r="O87" s="27" t="s">
        <v>41</v>
      </c>
      <c r="P87" s="12" t="s">
        <v>41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130</v>
      </c>
      <c r="B88" s="14" t="s">
        <v>24</v>
      </c>
      <c r="C88" s="14" t="s">
        <v>24</v>
      </c>
      <c r="D88" s="15" t="s">
        <v>19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32</v>
      </c>
      <c r="M88" s="15" t="s">
        <v>21</v>
      </c>
      <c r="N88" s="15">
        <v>719.11</v>
      </c>
      <c r="O88" s="27" t="s">
        <v>27</v>
      </c>
      <c r="P88" s="17" t="s">
        <v>27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131</v>
      </c>
      <c r="B89" s="9" t="s">
        <v>29</v>
      </c>
      <c r="C89" s="9" t="s">
        <v>29</v>
      </c>
      <c r="D89" s="10" t="s">
        <v>14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20</v>
      </c>
      <c r="M89" s="10" t="s">
        <v>16</v>
      </c>
      <c r="N89" s="10">
        <v>120.84</v>
      </c>
      <c r="O89" s="27" t="s">
        <v>79</v>
      </c>
      <c r="P89" s="12" t="s">
        <v>55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132</v>
      </c>
      <c r="B90" s="14" t="s">
        <v>13</v>
      </c>
      <c r="C90" s="4" t="s">
        <v>13</v>
      </c>
      <c r="D90" s="15" t="s">
        <v>19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32</v>
      </c>
      <c r="M90" s="15" t="s">
        <v>26</v>
      </c>
      <c r="N90" s="15">
        <v>1281.0999999999999</v>
      </c>
      <c r="O90" s="27" t="s">
        <v>35</v>
      </c>
      <c r="P90" s="17" t="s">
        <v>35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133</v>
      </c>
      <c r="B91" s="9" t="s">
        <v>576</v>
      </c>
      <c r="C91" s="9" t="s">
        <v>576</v>
      </c>
      <c r="D91" s="10" t="s">
        <v>34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32</v>
      </c>
      <c r="M91" s="10" t="s">
        <v>16</v>
      </c>
      <c r="N91" s="10">
        <v>203.17</v>
      </c>
      <c r="O91" s="27" t="s">
        <v>79</v>
      </c>
      <c r="P91" s="12" t="s">
        <v>79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134</v>
      </c>
      <c r="B92" s="14" t="s">
        <v>24</v>
      </c>
      <c r="C92" s="14" t="s">
        <v>24</v>
      </c>
      <c r="D92" s="15" t="s">
        <v>19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20</v>
      </c>
      <c r="M92" s="15" t="s">
        <v>21</v>
      </c>
      <c r="N92" s="15">
        <v>1325.93</v>
      </c>
      <c r="O92" s="27" t="s">
        <v>79</v>
      </c>
      <c r="P92" s="17" t="s">
        <v>55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135</v>
      </c>
      <c r="B93" s="9" t="s">
        <v>29</v>
      </c>
      <c r="C93" s="9" t="s">
        <v>29</v>
      </c>
      <c r="D93" s="10" t="s">
        <v>34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15</v>
      </c>
      <c r="L93" s="10" t="s">
        <v>15</v>
      </c>
      <c r="M93" s="10" t="s">
        <v>21</v>
      </c>
      <c r="N93" s="10">
        <v>311.67</v>
      </c>
      <c r="O93" s="27" t="s">
        <v>35</v>
      </c>
      <c r="P93" s="12" t="s">
        <v>30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136</v>
      </c>
      <c r="B94" s="14" t="s">
        <v>13</v>
      </c>
      <c r="C94" s="4" t="s">
        <v>13</v>
      </c>
      <c r="D94" s="15" t="s">
        <v>25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15</v>
      </c>
      <c r="L94" s="15" t="s">
        <v>15</v>
      </c>
      <c r="M94" s="15" t="s">
        <v>21</v>
      </c>
      <c r="N94" s="15">
        <v>469.27</v>
      </c>
      <c r="O94" s="27" t="s">
        <v>35</v>
      </c>
      <c r="P94" s="17" t="s">
        <v>30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137</v>
      </c>
      <c r="B95" s="9" t="s">
        <v>576</v>
      </c>
      <c r="C95" s="9" t="s">
        <v>576</v>
      </c>
      <c r="D95" s="10" t="s">
        <v>25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32</v>
      </c>
      <c r="M95" s="10" t="s">
        <v>26</v>
      </c>
      <c r="N95" s="10">
        <v>608.51</v>
      </c>
      <c r="O95" s="27" t="s">
        <v>100</v>
      </c>
      <c r="P95" s="12" t="s">
        <v>100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138</v>
      </c>
      <c r="B96" s="14" t="s">
        <v>24</v>
      </c>
      <c r="C96" s="14" t="s">
        <v>24</v>
      </c>
      <c r="D96" s="15" t="s">
        <v>37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32</v>
      </c>
      <c r="M96" s="15" t="s">
        <v>16</v>
      </c>
      <c r="N96" s="15">
        <v>241.86</v>
      </c>
      <c r="O96" s="27" t="s">
        <v>35</v>
      </c>
      <c r="P96" s="17" t="s">
        <v>35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139</v>
      </c>
      <c r="B97" s="9" t="s">
        <v>29</v>
      </c>
      <c r="C97" s="9" t="s">
        <v>29</v>
      </c>
      <c r="D97" s="10" t="s">
        <v>19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15</v>
      </c>
      <c r="L97" s="10" t="s">
        <v>15</v>
      </c>
      <c r="M97" s="10" t="s">
        <v>21</v>
      </c>
      <c r="N97" s="10">
        <v>523.02</v>
      </c>
      <c r="O97" s="27" t="s">
        <v>17</v>
      </c>
      <c r="P97" s="12" t="s">
        <v>95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140</v>
      </c>
      <c r="B98" s="14" t="s">
        <v>13</v>
      </c>
      <c r="C98" s="4" t="s">
        <v>13</v>
      </c>
      <c r="D98" s="15" t="s">
        <v>19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32</v>
      </c>
      <c r="M98" s="15" t="s">
        <v>26</v>
      </c>
      <c r="N98" s="15">
        <v>764.06</v>
      </c>
      <c r="O98" s="27" t="s">
        <v>41</v>
      </c>
      <c r="P98" s="17" t="s">
        <v>68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141</v>
      </c>
      <c r="B99" s="9" t="s">
        <v>576</v>
      </c>
      <c r="C99" s="9" t="s">
        <v>576</v>
      </c>
      <c r="D99" s="10" t="s">
        <v>34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15</v>
      </c>
      <c r="L99" s="10" t="s">
        <v>15</v>
      </c>
      <c r="M99" s="10" t="s">
        <v>26</v>
      </c>
      <c r="N99" s="10">
        <v>957.31</v>
      </c>
      <c r="O99" s="27" t="s">
        <v>35</v>
      </c>
      <c r="P99" s="12" t="s">
        <v>58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142</v>
      </c>
      <c r="B100" s="14" t="s">
        <v>24</v>
      </c>
      <c r="C100" s="14" t="s">
        <v>24</v>
      </c>
      <c r="D100" s="15" t="s">
        <v>25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32</v>
      </c>
      <c r="M100" s="15" t="s">
        <v>21</v>
      </c>
      <c r="N100" s="15">
        <v>180.83</v>
      </c>
      <c r="O100" s="27" t="s">
        <v>100</v>
      </c>
      <c r="P100" s="17" t="s">
        <v>63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143</v>
      </c>
      <c r="B101" s="9" t="s">
        <v>29</v>
      </c>
      <c r="C101" s="9" t="s">
        <v>29</v>
      </c>
      <c r="D101" s="10" t="s">
        <v>34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32</v>
      </c>
      <c r="M101" s="10" t="s">
        <v>21</v>
      </c>
      <c r="N101" s="10">
        <v>186.24</v>
      </c>
      <c r="O101" s="27" t="s">
        <v>27</v>
      </c>
      <c r="P101" s="12" t="s">
        <v>48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144</v>
      </c>
      <c r="B102" s="14" t="s">
        <v>13</v>
      </c>
      <c r="C102" s="4" t="s">
        <v>13</v>
      </c>
      <c r="D102" s="15" t="s">
        <v>25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20</v>
      </c>
      <c r="M102" s="15" t="s">
        <v>26</v>
      </c>
      <c r="N102" s="15">
        <v>306.17</v>
      </c>
      <c r="O102" s="27" t="s">
        <v>35</v>
      </c>
      <c r="P102" s="17" t="s">
        <v>30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145</v>
      </c>
      <c r="B103" s="9" t="s">
        <v>576</v>
      </c>
      <c r="C103" s="9" t="s">
        <v>576</v>
      </c>
      <c r="D103" s="10" t="s">
        <v>34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15</v>
      </c>
      <c r="L103" s="10" t="s">
        <v>15</v>
      </c>
      <c r="M103" s="10" t="s">
        <v>21</v>
      </c>
      <c r="N103" s="10">
        <v>1077.1099999999999</v>
      </c>
      <c r="O103" s="27" t="s">
        <v>41</v>
      </c>
      <c r="P103" s="12" t="s">
        <v>41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146</v>
      </c>
      <c r="B104" s="14" t="s">
        <v>24</v>
      </c>
      <c r="C104" s="14" t="s">
        <v>24</v>
      </c>
      <c r="D104" s="15" t="s">
        <v>25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32</v>
      </c>
      <c r="M104" s="15" t="s">
        <v>21</v>
      </c>
      <c r="N104" s="15">
        <v>666.98</v>
      </c>
      <c r="O104" s="27" t="s">
        <v>79</v>
      </c>
      <c r="P104" s="17" t="s">
        <v>22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147</v>
      </c>
      <c r="B105" s="9" t="s">
        <v>29</v>
      </c>
      <c r="C105" s="9" t="s">
        <v>29</v>
      </c>
      <c r="D105" s="10" t="s">
        <v>34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15</v>
      </c>
      <c r="L105" s="10" t="s">
        <v>15</v>
      </c>
      <c r="M105" s="10" t="s">
        <v>26</v>
      </c>
      <c r="N105" s="10">
        <v>777.62</v>
      </c>
      <c r="O105" s="27" t="s">
        <v>79</v>
      </c>
      <c r="P105" s="12" t="s">
        <v>22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148</v>
      </c>
      <c r="B106" s="14" t="s">
        <v>13</v>
      </c>
      <c r="C106" s="4" t="s">
        <v>13</v>
      </c>
      <c r="D106" s="15" t="s">
        <v>25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20</v>
      </c>
      <c r="M106" s="15" t="s">
        <v>16</v>
      </c>
      <c r="N106" s="15">
        <v>483.88</v>
      </c>
      <c r="O106" s="27" t="s">
        <v>17</v>
      </c>
      <c r="P106" s="17" t="s">
        <v>95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149</v>
      </c>
      <c r="B107" s="9" t="s">
        <v>576</v>
      </c>
      <c r="C107" s="9" t="s">
        <v>576</v>
      </c>
      <c r="D107" s="10" t="s">
        <v>34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15</v>
      </c>
      <c r="L107" s="10" t="s">
        <v>15</v>
      </c>
      <c r="M107" s="10" t="s">
        <v>21</v>
      </c>
      <c r="N107" s="10">
        <v>587.57000000000005</v>
      </c>
      <c r="O107" s="27" t="s">
        <v>79</v>
      </c>
      <c r="P107" s="12" t="s">
        <v>55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150</v>
      </c>
      <c r="B108" s="14" t="s">
        <v>24</v>
      </c>
      <c r="C108" s="14" t="s">
        <v>24</v>
      </c>
      <c r="D108" s="15" t="s">
        <v>19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32</v>
      </c>
      <c r="M108" s="15" t="s">
        <v>26</v>
      </c>
      <c r="N108" s="15">
        <v>660.08</v>
      </c>
      <c r="O108" s="27" t="s">
        <v>35</v>
      </c>
      <c r="P108" s="17" t="s">
        <v>58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151</v>
      </c>
      <c r="B109" s="9" t="s">
        <v>29</v>
      </c>
      <c r="C109" s="9" t="s">
        <v>29</v>
      </c>
      <c r="D109" s="10" t="s">
        <v>37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15</v>
      </c>
      <c r="L109" s="10" t="s">
        <v>15</v>
      </c>
      <c r="M109" s="10" t="s">
        <v>21</v>
      </c>
      <c r="N109" s="10">
        <v>1047.8699999999999</v>
      </c>
      <c r="O109" s="27" t="s">
        <v>79</v>
      </c>
      <c r="P109" s="12" t="s">
        <v>79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152</v>
      </c>
      <c r="B110" s="14" t="s">
        <v>13</v>
      </c>
      <c r="C110" s="4" t="s">
        <v>13</v>
      </c>
      <c r="D110" s="15" t="s">
        <v>34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20</v>
      </c>
      <c r="M110" s="15" t="s">
        <v>21</v>
      </c>
      <c r="N110" s="15">
        <v>1092.43</v>
      </c>
      <c r="O110" s="27" t="s">
        <v>17</v>
      </c>
      <c r="P110" s="17" t="s">
        <v>52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153</v>
      </c>
      <c r="B111" s="9" t="s">
        <v>576</v>
      </c>
      <c r="C111" s="9" t="s">
        <v>576</v>
      </c>
      <c r="D111" s="10" t="s">
        <v>37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15</v>
      </c>
      <c r="L111" s="10" t="s">
        <v>15</v>
      </c>
      <c r="M111" s="10" t="s">
        <v>16</v>
      </c>
      <c r="N111" s="10">
        <v>604.07000000000005</v>
      </c>
      <c r="O111" s="27" t="s">
        <v>27</v>
      </c>
      <c r="P111" s="12" t="s">
        <v>39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154</v>
      </c>
      <c r="B112" s="14" t="s">
        <v>24</v>
      </c>
      <c r="C112" s="14" t="s">
        <v>24</v>
      </c>
      <c r="D112" s="15" t="s">
        <v>19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15</v>
      </c>
      <c r="L112" s="15" t="s">
        <v>15</v>
      </c>
      <c r="M112" s="15" t="s">
        <v>21</v>
      </c>
      <c r="N112" s="15">
        <v>1168.31</v>
      </c>
      <c r="O112" s="27" t="s">
        <v>100</v>
      </c>
      <c r="P112" s="17" t="s">
        <v>63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155</v>
      </c>
      <c r="B113" s="9" t="s">
        <v>29</v>
      </c>
      <c r="C113" s="9" t="s">
        <v>29</v>
      </c>
      <c r="D113" s="10" t="s">
        <v>19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15</v>
      </c>
      <c r="L113" s="10" t="s">
        <v>15</v>
      </c>
      <c r="M113" s="10" t="s">
        <v>21</v>
      </c>
      <c r="N113" s="10">
        <v>71.8</v>
      </c>
      <c r="O113" s="27" t="s">
        <v>41</v>
      </c>
      <c r="P113" s="12" t="s">
        <v>68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156</v>
      </c>
      <c r="B114" s="14" t="s">
        <v>13</v>
      </c>
      <c r="C114" s="4" t="s">
        <v>13</v>
      </c>
      <c r="D114" s="15" t="s">
        <v>25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15</v>
      </c>
      <c r="L114" s="15" t="s">
        <v>15</v>
      </c>
      <c r="M114" s="15" t="s">
        <v>21</v>
      </c>
      <c r="N114" s="15">
        <v>546.45000000000005</v>
      </c>
      <c r="O114" s="27" t="s">
        <v>35</v>
      </c>
      <c r="P114" s="17" t="s">
        <v>58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157</v>
      </c>
      <c r="B115" s="9" t="s">
        <v>576</v>
      </c>
      <c r="C115" s="9" t="s">
        <v>576</v>
      </c>
      <c r="D115" s="10" t="s">
        <v>37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32</v>
      </c>
      <c r="M115" s="10" t="s">
        <v>26</v>
      </c>
      <c r="N115" s="10">
        <v>223.68</v>
      </c>
      <c r="O115" s="27" t="s">
        <v>35</v>
      </c>
      <c r="P115" s="12" t="s">
        <v>58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158</v>
      </c>
      <c r="B116" s="14" t="s">
        <v>24</v>
      </c>
      <c r="C116" s="14" t="s">
        <v>24</v>
      </c>
      <c r="D116" s="15" t="s">
        <v>14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15</v>
      </c>
      <c r="L116" s="15" t="s">
        <v>15</v>
      </c>
      <c r="M116" s="15" t="s">
        <v>21</v>
      </c>
      <c r="N116" s="15">
        <v>153.62</v>
      </c>
      <c r="O116" s="27" t="s">
        <v>100</v>
      </c>
      <c r="P116" s="17" t="s">
        <v>65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159</v>
      </c>
      <c r="B117" s="9" t="s">
        <v>29</v>
      </c>
      <c r="C117" s="9" t="s">
        <v>29</v>
      </c>
      <c r="D117" s="10" t="s">
        <v>25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20</v>
      </c>
      <c r="M117" s="10" t="s">
        <v>21</v>
      </c>
      <c r="N117" s="10">
        <v>815.29</v>
      </c>
      <c r="O117" s="27" t="s">
        <v>79</v>
      </c>
      <c r="P117" s="12" t="s">
        <v>22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160</v>
      </c>
      <c r="B118" s="14" t="s">
        <v>13</v>
      </c>
      <c r="C118" s="4" t="s">
        <v>13</v>
      </c>
      <c r="D118" s="15" t="s">
        <v>37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15</v>
      </c>
      <c r="L118" s="15" t="s">
        <v>15</v>
      </c>
      <c r="M118" s="15" t="s">
        <v>26</v>
      </c>
      <c r="N118" s="15">
        <v>817.55</v>
      </c>
      <c r="O118" s="27" t="s">
        <v>17</v>
      </c>
      <c r="P118" s="17" t="s">
        <v>95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161</v>
      </c>
      <c r="B119" s="9" t="s">
        <v>576</v>
      </c>
      <c r="C119" s="9" t="s">
        <v>576</v>
      </c>
      <c r="D119" s="10" t="s">
        <v>34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20</v>
      </c>
      <c r="M119" s="10" t="s">
        <v>21</v>
      </c>
      <c r="N119" s="10">
        <v>289.92</v>
      </c>
      <c r="O119" s="27" t="s">
        <v>17</v>
      </c>
      <c r="P119" s="12" t="s">
        <v>17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162</v>
      </c>
      <c r="B120" s="14" t="s">
        <v>24</v>
      </c>
      <c r="C120" s="14" t="s">
        <v>24</v>
      </c>
      <c r="D120" s="15" t="s">
        <v>34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20</v>
      </c>
      <c r="M120" s="15" t="s">
        <v>21</v>
      </c>
      <c r="N120" s="15">
        <v>274.36</v>
      </c>
      <c r="O120" s="27" t="s">
        <v>41</v>
      </c>
      <c r="P120" s="17" t="s">
        <v>68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163</v>
      </c>
      <c r="B121" s="9" t="s">
        <v>29</v>
      </c>
      <c r="C121" s="9" t="s">
        <v>29</v>
      </c>
      <c r="D121" s="10" t="s">
        <v>19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20</v>
      </c>
      <c r="M121" s="10" t="s">
        <v>21</v>
      </c>
      <c r="N121" s="10">
        <v>1022.41</v>
      </c>
      <c r="O121" s="27" t="s">
        <v>79</v>
      </c>
      <c r="P121" s="12" t="s">
        <v>79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164</v>
      </c>
      <c r="B122" s="14" t="s">
        <v>13</v>
      </c>
      <c r="C122" s="4" t="s">
        <v>13</v>
      </c>
      <c r="D122" s="15" t="s">
        <v>14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20</v>
      </c>
      <c r="M122" s="15" t="s">
        <v>16</v>
      </c>
      <c r="N122" s="15">
        <v>558.65</v>
      </c>
      <c r="O122" s="27" t="s">
        <v>17</v>
      </c>
      <c r="P122" s="17" t="s">
        <v>52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165</v>
      </c>
      <c r="B123" s="9" t="s">
        <v>576</v>
      </c>
      <c r="C123" s="9" t="s">
        <v>576</v>
      </c>
      <c r="D123" s="10" t="s">
        <v>34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32</v>
      </c>
      <c r="M123" s="10" t="s">
        <v>26</v>
      </c>
      <c r="N123" s="10">
        <v>40.409999999999997</v>
      </c>
      <c r="O123" s="27" t="s">
        <v>79</v>
      </c>
      <c r="P123" s="12" t="s">
        <v>79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166</v>
      </c>
      <c r="B124" s="14" t="s">
        <v>24</v>
      </c>
      <c r="C124" s="14" t="s">
        <v>24</v>
      </c>
      <c r="D124" s="15" t="s">
        <v>37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15</v>
      </c>
      <c r="L124" s="15" t="s">
        <v>15</v>
      </c>
      <c r="M124" s="15" t="s">
        <v>26</v>
      </c>
      <c r="N124" s="15">
        <v>1045.7</v>
      </c>
      <c r="O124" s="27" t="s">
        <v>27</v>
      </c>
      <c r="P124" s="17" t="s">
        <v>27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167</v>
      </c>
      <c r="B125" s="9" t="s">
        <v>29</v>
      </c>
      <c r="C125" s="9" t="s">
        <v>29</v>
      </c>
      <c r="D125" s="10" t="s">
        <v>37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15</v>
      </c>
      <c r="L125" s="10" t="s">
        <v>15</v>
      </c>
      <c r="M125" s="10" t="s">
        <v>26</v>
      </c>
      <c r="N125" s="10">
        <v>179.78</v>
      </c>
      <c r="O125" s="27" t="s">
        <v>35</v>
      </c>
      <c r="P125" s="12" t="s">
        <v>35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168</v>
      </c>
      <c r="B126" s="14" t="s">
        <v>13</v>
      </c>
      <c r="C126" s="4" t="s">
        <v>13</v>
      </c>
      <c r="D126" s="15" t="s">
        <v>34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32</v>
      </c>
      <c r="M126" s="15" t="s">
        <v>16</v>
      </c>
      <c r="N126" s="15">
        <v>789.67</v>
      </c>
      <c r="O126" s="27" t="s">
        <v>35</v>
      </c>
      <c r="P126" s="17" t="s">
        <v>30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169</v>
      </c>
      <c r="B127" s="9" t="s">
        <v>576</v>
      </c>
      <c r="C127" s="9" t="s">
        <v>576</v>
      </c>
      <c r="D127" s="10" t="s">
        <v>37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15</v>
      </c>
      <c r="L127" s="10" t="s">
        <v>15</v>
      </c>
      <c r="M127" s="10" t="s">
        <v>26</v>
      </c>
      <c r="N127" s="10">
        <v>296.98</v>
      </c>
      <c r="O127" s="27" t="s">
        <v>41</v>
      </c>
      <c r="P127" s="12" t="s">
        <v>68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170</v>
      </c>
      <c r="B128" s="14" t="s">
        <v>24</v>
      </c>
      <c r="C128" s="14" t="s">
        <v>24</v>
      </c>
      <c r="D128" s="15" t="s">
        <v>37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32</v>
      </c>
      <c r="M128" s="15" t="s">
        <v>26</v>
      </c>
      <c r="N128" s="15">
        <v>333.34</v>
      </c>
      <c r="O128" s="27" t="s">
        <v>79</v>
      </c>
      <c r="P128" s="17" t="s">
        <v>22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171</v>
      </c>
      <c r="B129" s="9" t="s">
        <v>29</v>
      </c>
      <c r="C129" s="9" t="s">
        <v>29</v>
      </c>
      <c r="D129" s="10" t="s">
        <v>19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20</v>
      </c>
      <c r="M129" s="10" t="s">
        <v>26</v>
      </c>
      <c r="N129" s="10">
        <v>934.84</v>
      </c>
      <c r="O129" s="27" t="s">
        <v>27</v>
      </c>
      <c r="P129" s="12" t="s">
        <v>27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172</v>
      </c>
      <c r="B130" s="14" t="s">
        <v>13</v>
      </c>
      <c r="C130" s="4" t="s">
        <v>13</v>
      </c>
      <c r="D130" s="15" t="s">
        <v>14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15</v>
      </c>
      <c r="L130" s="15" t="s">
        <v>15</v>
      </c>
      <c r="M130" s="15" t="s">
        <v>21</v>
      </c>
      <c r="N130" s="15">
        <v>197.42</v>
      </c>
      <c r="O130" s="27" t="s">
        <v>27</v>
      </c>
      <c r="P130" s="17" t="s">
        <v>39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173</v>
      </c>
      <c r="B131" s="9" t="s">
        <v>576</v>
      </c>
      <c r="C131" s="9" t="s">
        <v>576</v>
      </c>
      <c r="D131" s="10" t="s">
        <v>19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20</v>
      </c>
      <c r="M131" s="10" t="s">
        <v>16</v>
      </c>
      <c r="N131" s="10">
        <v>293.39999999999998</v>
      </c>
      <c r="O131" s="27" t="s">
        <v>17</v>
      </c>
      <c r="P131" s="12" t="s">
        <v>17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174</v>
      </c>
      <c r="B132" s="14" t="s">
        <v>24</v>
      </c>
      <c r="C132" s="14" t="s">
        <v>24</v>
      </c>
      <c r="D132" s="15" t="s">
        <v>14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15</v>
      </c>
      <c r="L132" s="15" t="s">
        <v>15</v>
      </c>
      <c r="M132" s="15" t="s">
        <v>21</v>
      </c>
      <c r="N132" s="15">
        <v>602.37</v>
      </c>
      <c r="O132" s="27" t="s">
        <v>35</v>
      </c>
      <c r="P132" s="17" t="s">
        <v>35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175</v>
      </c>
      <c r="B133" s="9" t="s">
        <v>29</v>
      </c>
      <c r="C133" s="9" t="s">
        <v>29</v>
      </c>
      <c r="D133" s="10" t="s">
        <v>37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15</v>
      </c>
      <c r="L133" s="10" t="s">
        <v>15</v>
      </c>
      <c r="M133" s="10" t="s">
        <v>26</v>
      </c>
      <c r="N133" s="10">
        <v>715.56</v>
      </c>
      <c r="O133" s="27" t="s">
        <v>41</v>
      </c>
      <c r="P133" s="12" t="s">
        <v>68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176</v>
      </c>
      <c r="B134" s="14" t="s">
        <v>13</v>
      </c>
      <c r="C134" s="4" t="s">
        <v>13</v>
      </c>
      <c r="D134" s="15" t="s">
        <v>14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15</v>
      </c>
      <c r="L134" s="15" t="s">
        <v>15</v>
      </c>
      <c r="M134" s="15" t="s">
        <v>21</v>
      </c>
      <c r="N134" s="15">
        <v>265.5</v>
      </c>
      <c r="O134" s="27" t="s">
        <v>17</v>
      </c>
      <c r="P134" s="17" t="s">
        <v>52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177</v>
      </c>
      <c r="B135" s="9" t="s">
        <v>576</v>
      </c>
      <c r="C135" s="9" t="s">
        <v>576</v>
      </c>
      <c r="D135" s="10" t="s">
        <v>37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20</v>
      </c>
      <c r="M135" s="10" t="s">
        <v>26</v>
      </c>
      <c r="N135" s="10">
        <v>583.83000000000004</v>
      </c>
      <c r="O135" s="27" t="s">
        <v>17</v>
      </c>
      <c r="P135" s="12" t="s">
        <v>95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178</v>
      </c>
      <c r="B136" s="14" t="s">
        <v>24</v>
      </c>
      <c r="C136" s="14" t="s">
        <v>24</v>
      </c>
      <c r="D136" s="15" t="s">
        <v>37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32</v>
      </c>
      <c r="M136" s="15" t="s">
        <v>21</v>
      </c>
      <c r="N136" s="15">
        <v>478.2</v>
      </c>
      <c r="O136" s="27" t="s">
        <v>41</v>
      </c>
      <c r="P136" s="17" t="s">
        <v>44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179</v>
      </c>
      <c r="B137" s="9" t="s">
        <v>29</v>
      </c>
      <c r="C137" s="9" t="s">
        <v>29</v>
      </c>
      <c r="D137" s="10" t="s">
        <v>19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20</v>
      </c>
      <c r="M137" s="10" t="s">
        <v>21</v>
      </c>
      <c r="N137" s="10">
        <v>201.73</v>
      </c>
      <c r="O137" s="27" t="s">
        <v>41</v>
      </c>
      <c r="P137" s="12" t="s">
        <v>44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180</v>
      </c>
      <c r="B138" s="14" t="s">
        <v>13</v>
      </c>
      <c r="C138" s="4" t="s">
        <v>13</v>
      </c>
      <c r="D138" s="15" t="s">
        <v>19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32</v>
      </c>
      <c r="M138" s="15" t="s">
        <v>16</v>
      </c>
      <c r="N138" s="15">
        <v>428.41</v>
      </c>
      <c r="O138" s="27" t="s">
        <v>27</v>
      </c>
      <c r="P138" s="17" t="s">
        <v>39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181</v>
      </c>
      <c r="B139" s="9" t="s">
        <v>576</v>
      </c>
      <c r="C139" s="9" t="s">
        <v>576</v>
      </c>
      <c r="D139" s="10" t="s">
        <v>25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15</v>
      </c>
      <c r="L139" s="10" t="s">
        <v>15</v>
      </c>
      <c r="M139" s="10" t="s">
        <v>26</v>
      </c>
      <c r="N139" s="10">
        <v>497.78</v>
      </c>
      <c r="O139" s="27" t="s">
        <v>27</v>
      </c>
      <c r="P139" s="12" t="s">
        <v>39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182</v>
      </c>
      <c r="B140" s="14" t="s">
        <v>24</v>
      </c>
      <c r="C140" s="14" t="s">
        <v>24</v>
      </c>
      <c r="D140" s="15" t="s">
        <v>34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15</v>
      </c>
      <c r="L140" s="15" t="s">
        <v>15</v>
      </c>
      <c r="M140" s="15" t="s">
        <v>16</v>
      </c>
      <c r="N140" s="15">
        <v>167.08</v>
      </c>
      <c r="O140" s="27" t="s">
        <v>27</v>
      </c>
      <c r="P140" s="17" t="s">
        <v>39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183</v>
      </c>
      <c r="B141" s="9" t="s">
        <v>29</v>
      </c>
      <c r="C141" s="9" t="s">
        <v>29</v>
      </c>
      <c r="D141" s="10" t="s">
        <v>25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15</v>
      </c>
      <c r="L141" s="10" t="s">
        <v>15</v>
      </c>
      <c r="M141" s="10" t="s">
        <v>26</v>
      </c>
      <c r="N141" s="10">
        <v>466.35</v>
      </c>
      <c r="O141" s="27" t="s">
        <v>17</v>
      </c>
      <c r="P141" s="12" t="s">
        <v>52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184</v>
      </c>
      <c r="B142" s="14" t="s">
        <v>13</v>
      </c>
      <c r="C142" s="4" t="s">
        <v>13</v>
      </c>
      <c r="D142" s="15" t="s">
        <v>25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15</v>
      </c>
      <c r="L142" s="15" t="s">
        <v>15</v>
      </c>
      <c r="M142" s="15" t="s">
        <v>26</v>
      </c>
      <c r="N142" s="15">
        <v>44.61</v>
      </c>
      <c r="O142" s="27" t="s">
        <v>100</v>
      </c>
      <c r="P142" s="17" t="s">
        <v>65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185</v>
      </c>
      <c r="B143" s="9" t="s">
        <v>576</v>
      </c>
      <c r="C143" s="9" t="s">
        <v>576</v>
      </c>
      <c r="D143" s="10" t="s">
        <v>14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20</v>
      </c>
      <c r="M143" s="10" t="s">
        <v>26</v>
      </c>
      <c r="N143" s="10">
        <v>699.11</v>
      </c>
      <c r="O143" s="27" t="s">
        <v>41</v>
      </c>
      <c r="P143" s="12" t="s">
        <v>68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186</v>
      </c>
      <c r="B144" s="14" t="s">
        <v>24</v>
      </c>
      <c r="C144" s="14" t="s">
        <v>24</v>
      </c>
      <c r="D144" s="15" t="s">
        <v>37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32</v>
      </c>
      <c r="M144" s="15" t="s">
        <v>21</v>
      </c>
      <c r="N144" s="15">
        <v>858.27</v>
      </c>
      <c r="O144" s="27" t="s">
        <v>100</v>
      </c>
      <c r="P144" s="17" t="s">
        <v>100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187</v>
      </c>
      <c r="B145" s="9" t="s">
        <v>29</v>
      </c>
      <c r="C145" s="9" t="s">
        <v>29</v>
      </c>
      <c r="D145" s="10" t="s">
        <v>37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32</v>
      </c>
      <c r="M145" s="10" t="s">
        <v>16</v>
      </c>
      <c r="N145" s="10">
        <v>46.23</v>
      </c>
      <c r="O145" s="27" t="s">
        <v>27</v>
      </c>
      <c r="P145" s="12" t="s">
        <v>27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188</v>
      </c>
      <c r="B146" s="14" t="s">
        <v>13</v>
      </c>
      <c r="C146" s="4" t="s">
        <v>13</v>
      </c>
      <c r="D146" s="15" t="s">
        <v>37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32</v>
      </c>
      <c r="M146" s="15" t="s">
        <v>26</v>
      </c>
      <c r="N146" s="15">
        <v>171.37</v>
      </c>
      <c r="O146" s="27" t="s">
        <v>27</v>
      </c>
      <c r="P146" s="17" t="s">
        <v>39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189</v>
      </c>
      <c r="B147" s="9" t="s">
        <v>576</v>
      </c>
      <c r="C147" s="9" t="s">
        <v>576</v>
      </c>
      <c r="D147" s="10" t="s">
        <v>34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15</v>
      </c>
      <c r="L147" s="10" t="s">
        <v>15</v>
      </c>
      <c r="M147" s="10" t="s">
        <v>26</v>
      </c>
      <c r="N147" s="10">
        <v>1201.33</v>
      </c>
      <c r="O147" s="27" t="s">
        <v>27</v>
      </c>
      <c r="P147" s="12" t="s">
        <v>27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190</v>
      </c>
      <c r="B148" s="14" t="s">
        <v>24</v>
      </c>
      <c r="C148" s="14" t="s">
        <v>24</v>
      </c>
      <c r="D148" s="15" t="s">
        <v>14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20</v>
      </c>
      <c r="M148" s="15" t="s">
        <v>21</v>
      </c>
      <c r="N148" s="15">
        <v>609.51</v>
      </c>
      <c r="O148" s="27" t="s">
        <v>27</v>
      </c>
      <c r="P148" s="17" t="s">
        <v>48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191</v>
      </c>
      <c r="B149" s="9" t="s">
        <v>29</v>
      </c>
      <c r="C149" s="9" t="s">
        <v>29</v>
      </c>
      <c r="D149" s="10" t="s">
        <v>14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15</v>
      </c>
      <c r="L149" s="10" t="s">
        <v>15</v>
      </c>
      <c r="M149" s="10" t="s">
        <v>26</v>
      </c>
      <c r="N149" s="10">
        <v>248.9</v>
      </c>
      <c r="O149" s="27" t="s">
        <v>17</v>
      </c>
      <c r="P149" s="12" t="s">
        <v>17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192</v>
      </c>
      <c r="B150" s="14" t="s">
        <v>13</v>
      </c>
      <c r="C150" s="4" t="s">
        <v>13</v>
      </c>
      <c r="D150" s="15" t="s">
        <v>37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32</v>
      </c>
      <c r="M150" s="15" t="s">
        <v>26</v>
      </c>
      <c r="N150" s="15">
        <v>394.17</v>
      </c>
      <c r="O150" s="27" t="s">
        <v>41</v>
      </c>
      <c r="P150" s="17" t="s">
        <v>44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193</v>
      </c>
      <c r="B151" s="9" t="s">
        <v>576</v>
      </c>
      <c r="C151" s="9" t="s">
        <v>576</v>
      </c>
      <c r="D151" s="10" t="s">
        <v>25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20</v>
      </c>
      <c r="M151" s="10" t="s">
        <v>21</v>
      </c>
      <c r="N151" s="10">
        <v>1205.9000000000001</v>
      </c>
      <c r="O151" s="27" t="s">
        <v>27</v>
      </c>
      <c r="P151" s="12" t="s">
        <v>27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194</v>
      </c>
      <c r="B152" s="14" t="s">
        <v>24</v>
      </c>
      <c r="C152" s="14" t="s">
        <v>24</v>
      </c>
      <c r="D152" s="15" t="s">
        <v>34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20</v>
      </c>
      <c r="M152" s="15" t="s">
        <v>21</v>
      </c>
      <c r="N152" s="15">
        <v>408.16</v>
      </c>
      <c r="O152" s="27" t="s">
        <v>17</v>
      </c>
      <c r="P152" s="17" t="s">
        <v>95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195</v>
      </c>
      <c r="B153" s="9" t="s">
        <v>29</v>
      </c>
      <c r="C153" s="9" t="s">
        <v>29</v>
      </c>
      <c r="D153" s="10" t="s">
        <v>25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15</v>
      </c>
      <c r="L153" s="10" t="s">
        <v>15</v>
      </c>
      <c r="M153" s="10" t="s">
        <v>21</v>
      </c>
      <c r="N153" s="10">
        <v>617.32000000000005</v>
      </c>
      <c r="O153" s="27" t="s">
        <v>41</v>
      </c>
      <c r="P153" s="12" t="s">
        <v>68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196</v>
      </c>
      <c r="B154" s="14" t="s">
        <v>13</v>
      </c>
      <c r="C154" s="4" t="s">
        <v>13</v>
      </c>
      <c r="D154" s="15" t="s">
        <v>19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20</v>
      </c>
      <c r="M154" s="15" t="s">
        <v>16</v>
      </c>
      <c r="N154" s="15">
        <v>253.65</v>
      </c>
      <c r="O154" s="27" t="s">
        <v>41</v>
      </c>
      <c r="P154" s="17" t="s">
        <v>44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197</v>
      </c>
      <c r="B155" s="9" t="s">
        <v>576</v>
      </c>
      <c r="C155" s="9" t="s">
        <v>576</v>
      </c>
      <c r="D155" s="10" t="s">
        <v>14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20</v>
      </c>
      <c r="M155" s="10" t="s">
        <v>16</v>
      </c>
      <c r="N155" s="10">
        <v>742.76</v>
      </c>
      <c r="O155" s="27" t="s">
        <v>17</v>
      </c>
      <c r="P155" s="12" t="s">
        <v>52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198</v>
      </c>
      <c r="B156" s="14" t="s">
        <v>24</v>
      </c>
      <c r="C156" s="14" t="s">
        <v>24</v>
      </c>
      <c r="D156" s="15" t="s">
        <v>14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20</v>
      </c>
      <c r="M156" s="15" t="s">
        <v>16</v>
      </c>
      <c r="N156" s="15">
        <v>182.68</v>
      </c>
      <c r="O156" s="27" t="s">
        <v>17</v>
      </c>
      <c r="P156" s="17" t="s">
        <v>95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199</v>
      </c>
      <c r="B157" s="9" t="s">
        <v>29</v>
      </c>
      <c r="C157" s="9" t="s">
        <v>29</v>
      </c>
      <c r="D157" s="10" t="s">
        <v>25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15</v>
      </c>
      <c r="L157" s="10" t="s">
        <v>15</v>
      </c>
      <c r="M157" s="10" t="s">
        <v>26</v>
      </c>
      <c r="N157" s="10">
        <v>735.37</v>
      </c>
      <c r="O157" s="27" t="s">
        <v>79</v>
      </c>
      <c r="P157" s="12" t="s">
        <v>22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200</v>
      </c>
      <c r="B158" s="14" t="s">
        <v>13</v>
      </c>
      <c r="C158" s="4" t="s">
        <v>13</v>
      </c>
      <c r="D158" s="15" t="s">
        <v>34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15</v>
      </c>
      <c r="L158" s="15" t="s">
        <v>15</v>
      </c>
      <c r="M158" s="15" t="s">
        <v>16</v>
      </c>
      <c r="N158" s="15">
        <v>813.65</v>
      </c>
      <c r="O158" s="27" t="s">
        <v>41</v>
      </c>
      <c r="P158" s="17" t="s">
        <v>44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201</v>
      </c>
      <c r="B159" s="9" t="s">
        <v>576</v>
      </c>
      <c r="C159" s="9" t="s">
        <v>576</v>
      </c>
      <c r="D159" s="10" t="s">
        <v>14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20</v>
      </c>
      <c r="M159" s="10" t="s">
        <v>26</v>
      </c>
      <c r="N159" s="10">
        <v>597.1</v>
      </c>
      <c r="O159" s="27" t="s">
        <v>79</v>
      </c>
      <c r="P159" s="12" t="s">
        <v>55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202</v>
      </c>
      <c r="B160" s="14" t="s">
        <v>24</v>
      </c>
      <c r="C160" s="14" t="s">
        <v>24</v>
      </c>
      <c r="D160" s="15" t="s">
        <v>25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15</v>
      </c>
      <c r="L160" s="15" t="s">
        <v>15</v>
      </c>
      <c r="M160" s="15" t="s">
        <v>16</v>
      </c>
      <c r="N160" s="15">
        <v>43.53</v>
      </c>
      <c r="O160" s="27" t="s">
        <v>79</v>
      </c>
      <c r="P160" s="17" t="s">
        <v>55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203</v>
      </c>
      <c r="B161" s="9" t="s">
        <v>29</v>
      </c>
      <c r="C161" s="9" t="s">
        <v>29</v>
      </c>
      <c r="D161" s="10" t="s">
        <v>34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20</v>
      </c>
      <c r="M161" s="10" t="s">
        <v>26</v>
      </c>
      <c r="N161" s="10">
        <v>508.56</v>
      </c>
      <c r="O161" s="27" t="s">
        <v>27</v>
      </c>
      <c r="P161" s="12" t="s">
        <v>48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204</v>
      </c>
      <c r="B162" s="14" t="s">
        <v>13</v>
      </c>
      <c r="C162" s="4" t="s">
        <v>13</v>
      </c>
      <c r="D162" s="15" t="s">
        <v>25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32</v>
      </c>
      <c r="M162" s="15" t="s">
        <v>26</v>
      </c>
      <c r="N162" s="15">
        <v>166.4</v>
      </c>
      <c r="O162" s="27" t="s">
        <v>35</v>
      </c>
      <c r="P162" s="17" t="s">
        <v>35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205</v>
      </c>
      <c r="B163" s="9" t="s">
        <v>576</v>
      </c>
      <c r="C163" s="9" t="s">
        <v>576</v>
      </c>
      <c r="D163" s="10" t="s">
        <v>34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32</v>
      </c>
      <c r="M163" s="10" t="s">
        <v>21</v>
      </c>
      <c r="N163" s="10">
        <v>292.08</v>
      </c>
      <c r="O163" s="27" t="s">
        <v>35</v>
      </c>
      <c r="P163" s="12" t="s">
        <v>58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206</v>
      </c>
      <c r="B164" s="14" t="s">
        <v>24</v>
      </c>
      <c r="C164" s="14" t="s">
        <v>24</v>
      </c>
      <c r="D164" s="15" t="s">
        <v>37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20</v>
      </c>
      <c r="M164" s="15" t="s">
        <v>16</v>
      </c>
      <c r="N164" s="15">
        <v>579.12</v>
      </c>
      <c r="O164" s="27" t="s">
        <v>41</v>
      </c>
      <c r="P164" s="17" t="s">
        <v>41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207</v>
      </c>
      <c r="B165" s="9" t="s">
        <v>29</v>
      </c>
      <c r="C165" s="9" t="s">
        <v>29</v>
      </c>
      <c r="D165" s="10" t="s">
        <v>34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32</v>
      </c>
      <c r="M165" s="10" t="s">
        <v>21</v>
      </c>
      <c r="N165" s="10">
        <v>230.99</v>
      </c>
      <c r="O165" s="27" t="s">
        <v>35</v>
      </c>
      <c r="P165" s="12" t="s">
        <v>35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208</v>
      </c>
      <c r="B166" s="14" t="s">
        <v>13</v>
      </c>
      <c r="C166" s="4" t="s">
        <v>13</v>
      </c>
      <c r="D166" s="15" t="s">
        <v>19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32</v>
      </c>
      <c r="M166" s="15" t="s">
        <v>26</v>
      </c>
      <c r="N166" s="15">
        <v>330.45</v>
      </c>
      <c r="O166" s="27" t="s">
        <v>100</v>
      </c>
      <c r="P166" s="17" t="s">
        <v>63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209</v>
      </c>
      <c r="B167" s="9" t="s">
        <v>576</v>
      </c>
      <c r="C167" s="9" t="s">
        <v>576</v>
      </c>
      <c r="D167" s="10" t="s">
        <v>37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32</v>
      </c>
      <c r="M167" s="10" t="s">
        <v>26</v>
      </c>
      <c r="N167" s="10">
        <v>440.26</v>
      </c>
      <c r="O167" s="27" t="s">
        <v>41</v>
      </c>
      <c r="P167" s="12" t="s">
        <v>41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210</v>
      </c>
      <c r="B168" s="14" t="s">
        <v>24</v>
      </c>
      <c r="C168" s="14" t="s">
        <v>24</v>
      </c>
      <c r="D168" s="15" t="s">
        <v>25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20</v>
      </c>
      <c r="M168" s="15" t="s">
        <v>16</v>
      </c>
      <c r="N168" s="15">
        <v>332.86</v>
      </c>
      <c r="O168" s="27" t="s">
        <v>79</v>
      </c>
      <c r="P168" s="17" t="s">
        <v>55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211</v>
      </c>
      <c r="B169" s="9" t="s">
        <v>29</v>
      </c>
      <c r="C169" s="9" t="s">
        <v>29</v>
      </c>
      <c r="D169" s="10" t="s">
        <v>37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15</v>
      </c>
      <c r="L169" s="10" t="s">
        <v>15</v>
      </c>
      <c r="M169" s="10" t="s">
        <v>26</v>
      </c>
      <c r="N169" s="10">
        <v>418.96</v>
      </c>
      <c r="O169" s="27" t="s">
        <v>41</v>
      </c>
      <c r="P169" s="12" t="s">
        <v>41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212</v>
      </c>
      <c r="B170" s="14" t="s">
        <v>13</v>
      </c>
      <c r="C170" s="4" t="s">
        <v>13</v>
      </c>
      <c r="D170" s="15" t="s">
        <v>37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20</v>
      </c>
      <c r="M170" s="15" t="s">
        <v>16</v>
      </c>
      <c r="N170" s="15">
        <v>458.18</v>
      </c>
      <c r="O170" s="27" t="s">
        <v>79</v>
      </c>
      <c r="P170" s="17" t="s">
        <v>55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213</v>
      </c>
      <c r="B171" s="9" t="s">
        <v>576</v>
      </c>
      <c r="C171" s="9" t="s">
        <v>576</v>
      </c>
      <c r="D171" s="10" t="s">
        <v>25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20</v>
      </c>
      <c r="M171" s="10" t="s">
        <v>16</v>
      </c>
      <c r="N171" s="10">
        <v>522.95000000000005</v>
      </c>
      <c r="O171" s="27" t="s">
        <v>79</v>
      </c>
      <c r="P171" s="12" t="s">
        <v>22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214</v>
      </c>
      <c r="B172" s="14" t="s">
        <v>24</v>
      </c>
      <c r="C172" s="14" t="s">
        <v>24</v>
      </c>
      <c r="D172" s="15" t="s">
        <v>25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15</v>
      </c>
      <c r="L172" s="15" t="s">
        <v>15</v>
      </c>
      <c r="M172" s="15" t="s">
        <v>16</v>
      </c>
      <c r="N172" s="15">
        <v>930.19</v>
      </c>
      <c r="O172" s="27" t="s">
        <v>41</v>
      </c>
      <c r="P172" s="17" t="s">
        <v>44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215</v>
      </c>
      <c r="B173" s="9" t="s">
        <v>29</v>
      </c>
      <c r="C173" s="9" t="s">
        <v>29</v>
      </c>
      <c r="D173" s="10" t="s">
        <v>19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20</v>
      </c>
      <c r="M173" s="10" t="s">
        <v>21</v>
      </c>
      <c r="N173" s="10">
        <v>250.2</v>
      </c>
      <c r="O173" s="27" t="s">
        <v>27</v>
      </c>
      <c r="P173" s="12" t="s">
        <v>39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216</v>
      </c>
      <c r="B174" s="14" t="s">
        <v>13</v>
      </c>
      <c r="C174" s="4" t="s">
        <v>13</v>
      </c>
      <c r="D174" s="15" t="s">
        <v>25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20</v>
      </c>
      <c r="M174" s="15" t="s">
        <v>16</v>
      </c>
      <c r="N174" s="15">
        <v>729.42</v>
      </c>
      <c r="O174" s="27" t="s">
        <v>17</v>
      </c>
      <c r="P174" s="17" t="s">
        <v>17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217</v>
      </c>
      <c r="B175" s="9" t="s">
        <v>576</v>
      </c>
      <c r="C175" s="9" t="s">
        <v>576</v>
      </c>
      <c r="D175" s="10" t="s">
        <v>14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20</v>
      </c>
      <c r="M175" s="10" t="s">
        <v>16</v>
      </c>
      <c r="N175" s="10">
        <v>253.73</v>
      </c>
      <c r="O175" s="27" t="s">
        <v>35</v>
      </c>
      <c r="P175" s="12" t="s">
        <v>35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218</v>
      </c>
      <c r="B176" s="14" t="s">
        <v>24</v>
      </c>
      <c r="C176" s="14" t="s">
        <v>24</v>
      </c>
      <c r="D176" s="15" t="s">
        <v>14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32</v>
      </c>
      <c r="M176" s="15" t="s">
        <v>16</v>
      </c>
      <c r="N176" s="15">
        <v>941.87</v>
      </c>
      <c r="O176" s="27" t="s">
        <v>100</v>
      </c>
      <c r="P176" s="17" t="s">
        <v>63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219</v>
      </c>
      <c r="B177" s="9" t="s">
        <v>29</v>
      </c>
      <c r="C177" s="9" t="s">
        <v>29</v>
      </c>
      <c r="D177" s="10" t="s">
        <v>19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20</v>
      </c>
      <c r="M177" s="10" t="s">
        <v>16</v>
      </c>
      <c r="N177" s="10">
        <v>671.84</v>
      </c>
      <c r="O177" s="27" t="s">
        <v>35</v>
      </c>
      <c r="P177" s="12" t="s">
        <v>58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220</v>
      </c>
      <c r="B178" s="14" t="s">
        <v>13</v>
      </c>
      <c r="C178" s="4" t="s">
        <v>13</v>
      </c>
      <c r="D178" s="15" t="s">
        <v>34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20</v>
      </c>
      <c r="M178" s="15" t="s">
        <v>16</v>
      </c>
      <c r="N178" s="15">
        <v>814</v>
      </c>
      <c r="O178" s="27" t="s">
        <v>41</v>
      </c>
      <c r="P178" s="17" t="s">
        <v>41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221</v>
      </c>
      <c r="B179" s="9" t="s">
        <v>576</v>
      </c>
      <c r="C179" s="9" t="s">
        <v>576</v>
      </c>
      <c r="D179" s="10" t="s">
        <v>34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15</v>
      </c>
      <c r="L179" s="10" t="s">
        <v>15</v>
      </c>
      <c r="M179" s="10" t="s">
        <v>21</v>
      </c>
      <c r="N179" s="10">
        <v>66.459999999999994</v>
      </c>
      <c r="O179" s="27" t="s">
        <v>27</v>
      </c>
      <c r="P179" s="12" t="s">
        <v>39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222</v>
      </c>
      <c r="B180" s="14" t="s">
        <v>24</v>
      </c>
      <c r="C180" s="14" t="s">
        <v>24</v>
      </c>
      <c r="D180" s="15" t="s">
        <v>14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32</v>
      </c>
      <c r="M180" s="15" t="s">
        <v>16</v>
      </c>
      <c r="N180" s="15">
        <v>479.33</v>
      </c>
      <c r="O180" s="27" t="s">
        <v>27</v>
      </c>
      <c r="P180" s="17" t="s">
        <v>27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223</v>
      </c>
      <c r="B181" s="9" t="s">
        <v>29</v>
      </c>
      <c r="C181" s="9" t="s">
        <v>29</v>
      </c>
      <c r="D181" s="10" t="s">
        <v>25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32</v>
      </c>
      <c r="M181" s="10" t="s">
        <v>26</v>
      </c>
      <c r="N181" s="10">
        <v>336.28</v>
      </c>
      <c r="O181" s="27" t="s">
        <v>17</v>
      </c>
      <c r="P181" s="12" t="s">
        <v>95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224</v>
      </c>
      <c r="B182" s="14" t="s">
        <v>13</v>
      </c>
      <c r="C182" s="4" t="s">
        <v>13</v>
      </c>
      <c r="D182" s="15" t="s">
        <v>19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20</v>
      </c>
      <c r="M182" s="15" t="s">
        <v>26</v>
      </c>
      <c r="N182" s="15">
        <v>523.61</v>
      </c>
      <c r="O182" s="27" t="s">
        <v>100</v>
      </c>
      <c r="P182" s="17" t="s">
        <v>65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225</v>
      </c>
      <c r="B183" s="9" t="s">
        <v>576</v>
      </c>
      <c r="C183" s="9" t="s">
        <v>576</v>
      </c>
      <c r="D183" s="10" t="s">
        <v>34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32</v>
      </c>
      <c r="M183" s="10" t="s">
        <v>16</v>
      </c>
      <c r="N183" s="10">
        <v>235.73</v>
      </c>
      <c r="O183" s="27" t="s">
        <v>41</v>
      </c>
      <c r="P183" s="12" t="s">
        <v>44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226</v>
      </c>
      <c r="B184" s="14" t="s">
        <v>24</v>
      </c>
      <c r="C184" s="14" t="s">
        <v>24</v>
      </c>
      <c r="D184" s="15" t="s">
        <v>34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32</v>
      </c>
      <c r="M184" s="15" t="s">
        <v>16</v>
      </c>
      <c r="N184" s="15">
        <v>350.59</v>
      </c>
      <c r="O184" s="27" t="s">
        <v>17</v>
      </c>
      <c r="P184" s="17" t="s">
        <v>52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227</v>
      </c>
      <c r="B185" s="9" t="s">
        <v>29</v>
      </c>
      <c r="C185" s="9" t="s">
        <v>29</v>
      </c>
      <c r="D185" s="10" t="s">
        <v>37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15</v>
      </c>
      <c r="L185" s="10" t="s">
        <v>15</v>
      </c>
      <c r="M185" s="10" t="s">
        <v>16</v>
      </c>
      <c r="N185" s="10">
        <v>255.64</v>
      </c>
      <c r="O185" s="27" t="s">
        <v>100</v>
      </c>
      <c r="P185" s="12" t="s">
        <v>65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228</v>
      </c>
      <c r="B186" s="14" t="s">
        <v>13</v>
      </c>
      <c r="C186" s="4" t="s">
        <v>13</v>
      </c>
      <c r="D186" s="15" t="s">
        <v>14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15</v>
      </c>
      <c r="L186" s="15" t="s">
        <v>15</v>
      </c>
      <c r="M186" s="15" t="s">
        <v>16</v>
      </c>
      <c r="N186" s="15">
        <v>227.77</v>
      </c>
      <c r="O186" s="27" t="s">
        <v>35</v>
      </c>
      <c r="P186" s="17" t="s">
        <v>58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229</v>
      </c>
      <c r="B187" s="9" t="s">
        <v>576</v>
      </c>
      <c r="C187" s="9" t="s">
        <v>576</v>
      </c>
      <c r="D187" s="10" t="s">
        <v>25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32</v>
      </c>
      <c r="M187" s="10" t="s">
        <v>16</v>
      </c>
      <c r="N187" s="10">
        <v>393.92</v>
      </c>
      <c r="O187" s="27" t="s">
        <v>27</v>
      </c>
      <c r="P187" s="12" t="s">
        <v>48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230</v>
      </c>
      <c r="B188" s="14" t="s">
        <v>24</v>
      </c>
      <c r="C188" s="14" t="s">
        <v>24</v>
      </c>
      <c r="D188" s="15" t="s">
        <v>19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15</v>
      </c>
      <c r="L188" s="15" t="s">
        <v>15</v>
      </c>
      <c r="M188" s="15" t="s">
        <v>26</v>
      </c>
      <c r="N188" s="15">
        <v>112.67</v>
      </c>
      <c r="O188" s="27" t="s">
        <v>100</v>
      </c>
      <c r="P188" s="17" t="s">
        <v>63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231</v>
      </c>
      <c r="B189" s="9" t="s">
        <v>29</v>
      </c>
      <c r="C189" s="9" t="s">
        <v>29</v>
      </c>
      <c r="D189" s="10" t="s">
        <v>34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20</v>
      </c>
      <c r="M189" s="10" t="s">
        <v>16</v>
      </c>
      <c r="N189" s="10">
        <v>27.01</v>
      </c>
      <c r="O189" s="27" t="s">
        <v>100</v>
      </c>
      <c r="P189" s="12" t="s">
        <v>65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232</v>
      </c>
      <c r="B190" s="14" t="s">
        <v>13</v>
      </c>
      <c r="C190" s="4" t="s">
        <v>13</v>
      </c>
      <c r="D190" s="15" t="s">
        <v>37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15</v>
      </c>
      <c r="L190" s="15" t="s">
        <v>15</v>
      </c>
      <c r="M190" s="15" t="s">
        <v>16</v>
      </c>
      <c r="N190" s="15">
        <v>838.45</v>
      </c>
      <c r="O190" s="27" t="s">
        <v>27</v>
      </c>
      <c r="P190" s="17" t="s">
        <v>27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233</v>
      </c>
      <c r="B191" s="9" t="s">
        <v>576</v>
      </c>
      <c r="C191" s="9" t="s">
        <v>576</v>
      </c>
      <c r="D191" s="10" t="s">
        <v>14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20</v>
      </c>
      <c r="M191" s="10" t="s">
        <v>16</v>
      </c>
      <c r="N191" s="10">
        <v>101.89</v>
      </c>
      <c r="O191" s="27" t="s">
        <v>35</v>
      </c>
      <c r="P191" s="12" t="s">
        <v>58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234</v>
      </c>
      <c r="B192" s="14" t="s">
        <v>24</v>
      </c>
      <c r="C192" s="14" t="s">
        <v>24</v>
      </c>
      <c r="D192" s="15" t="s">
        <v>14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15</v>
      </c>
      <c r="L192" s="15" t="s">
        <v>15</v>
      </c>
      <c r="M192" s="15" t="s">
        <v>26</v>
      </c>
      <c r="N192" s="15">
        <v>639.71</v>
      </c>
      <c r="O192" s="27" t="s">
        <v>100</v>
      </c>
      <c r="P192" s="17" t="s">
        <v>65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235</v>
      </c>
      <c r="B193" s="9" t="s">
        <v>29</v>
      </c>
      <c r="C193" s="9" t="s">
        <v>29</v>
      </c>
      <c r="D193" s="10" t="s">
        <v>19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32</v>
      </c>
      <c r="M193" s="10" t="s">
        <v>26</v>
      </c>
      <c r="N193" s="10">
        <v>549.92999999999995</v>
      </c>
      <c r="O193" s="27" t="s">
        <v>27</v>
      </c>
      <c r="P193" s="12" t="s">
        <v>27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236</v>
      </c>
      <c r="B194" s="14" t="s">
        <v>13</v>
      </c>
      <c r="C194" s="4" t="s">
        <v>13</v>
      </c>
      <c r="D194" s="15" t="s">
        <v>34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20</v>
      </c>
      <c r="M194" s="15" t="s">
        <v>16</v>
      </c>
      <c r="N194" s="15">
        <v>467.32</v>
      </c>
      <c r="O194" s="27" t="s">
        <v>41</v>
      </c>
      <c r="P194" s="17" t="s">
        <v>68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237</v>
      </c>
      <c r="B195" s="9" t="s">
        <v>576</v>
      </c>
      <c r="C195" s="9" t="s">
        <v>576</v>
      </c>
      <c r="D195" s="10" t="s">
        <v>19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15</v>
      </c>
      <c r="L195" s="10" t="s">
        <v>15</v>
      </c>
      <c r="M195" s="10" t="s">
        <v>26</v>
      </c>
      <c r="N195" s="10">
        <v>170.18</v>
      </c>
      <c r="O195" s="27" t="s">
        <v>17</v>
      </c>
      <c r="P195" s="12" t="s">
        <v>17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238</v>
      </c>
      <c r="B196" s="14" t="s">
        <v>24</v>
      </c>
      <c r="C196" s="14" t="s">
        <v>24</v>
      </c>
      <c r="D196" s="15" t="s">
        <v>19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15</v>
      </c>
      <c r="L196" s="15" t="s">
        <v>15</v>
      </c>
      <c r="M196" s="15" t="s">
        <v>16</v>
      </c>
      <c r="N196" s="15">
        <v>664.13</v>
      </c>
      <c r="O196" s="27" t="s">
        <v>100</v>
      </c>
      <c r="P196" s="17" t="s">
        <v>65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239</v>
      </c>
      <c r="B197" s="9" t="s">
        <v>29</v>
      </c>
      <c r="C197" s="9" t="s">
        <v>29</v>
      </c>
      <c r="D197" s="10" t="s">
        <v>37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20</v>
      </c>
      <c r="M197" s="10" t="s">
        <v>26</v>
      </c>
      <c r="N197" s="10">
        <v>242.2</v>
      </c>
      <c r="O197" s="27" t="s">
        <v>27</v>
      </c>
      <c r="P197" s="12" t="s">
        <v>39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240</v>
      </c>
      <c r="B198" s="14" t="s">
        <v>13</v>
      </c>
      <c r="C198" s="4" t="s">
        <v>13</v>
      </c>
      <c r="D198" s="15" t="s">
        <v>14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15</v>
      </c>
      <c r="L198" s="15" t="s">
        <v>15</v>
      </c>
      <c r="M198" s="15" t="s">
        <v>16</v>
      </c>
      <c r="N198" s="15">
        <v>508.95</v>
      </c>
      <c r="O198" s="27" t="s">
        <v>17</v>
      </c>
      <c r="P198" s="17" t="s">
        <v>52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241</v>
      </c>
      <c r="B199" s="9" t="s">
        <v>576</v>
      </c>
      <c r="C199" s="9" t="s">
        <v>576</v>
      </c>
      <c r="D199" s="10" t="s">
        <v>25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32</v>
      </c>
      <c r="M199" s="10" t="s">
        <v>21</v>
      </c>
      <c r="N199" s="10">
        <v>350.09</v>
      </c>
      <c r="O199" s="27" t="s">
        <v>79</v>
      </c>
      <c r="P199" s="12" t="s">
        <v>79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242</v>
      </c>
      <c r="B200" s="14" t="s">
        <v>24</v>
      </c>
      <c r="C200" s="14" t="s">
        <v>24</v>
      </c>
      <c r="D200" s="15" t="s">
        <v>14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20</v>
      </c>
      <c r="M200" s="15" t="s">
        <v>26</v>
      </c>
      <c r="N200" s="15">
        <v>451.8</v>
      </c>
      <c r="O200" s="27" t="s">
        <v>35</v>
      </c>
      <c r="P200" s="17" t="s">
        <v>30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243</v>
      </c>
      <c r="B201" s="9" t="s">
        <v>29</v>
      </c>
      <c r="C201" s="9" t="s">
        <v>29</v>
      </c>
      <c r="D201" s="10" t="s">
        <v>14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32</v>
      </c>
      <c r="M201" s="10" t="s">
        <v>21</v>
      </c>
      <c r="N201" s="10">
        <v>1195.98</v>
      </c>
      <c r="O201" s="27" t="s">
        <v>41</v>
      </c>
      <c r="P201" s="12" t="s">
        <v>41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244</v>
      </c>
      <c r="B202" s="14" t="s">
        <v>13</v>
      </c>
      <c r="C202" s="4" t="s">
        <v>13</v>
      </c>
      <c r="D202" s="15" t="s">
        <v>37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20</v>
      </c>
      <c r="M202" s="15" t="s">
        <v>26</v>
      </c>
      <c r="N202" s="15">
        <v>235.46</v>
      </c>
      <c r="O202" s="27" t="s">
        <v>41</v>
      </c>
      <c r="P202" s="17" t="s">
        <v>68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245</v>
      </c>
      <c r="B203" s="9" t="s">
        <v>576</v>
      </c>
      <c r="C203" s="9" t="s">
        <v>576</v>
      </c>
      <c r="D203" s="10" t="s">
        <v>25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20</v>
      </c>
      <c r="M203" s="10" t="s">
        <v>21</v>
      </c>
      <c r="N203" s="10">
        <v>432.87</v>
      </c>
      <c r="O203" s="27" t="s">
        <v>100</v>
      </c>
      <c r="P203" s="12" t="s">
        <v>100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246</v>
      </c>
      <c r="B204" s="14" t="s">
        <v>24</v>
      </c>
      <c r="C204" s="14" t="s">
        <v>24</v>
      </c>
      <c r="D204" s="15" t="s">
        <v>34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20</v>
      </c>
      <c r="M204" s="15" t="s">
        <v>26</v>
      </c>
      <c r="N204" s="15">
        <v>1028.18</v>
      </c>
      <c r="O204" s="27" t="s">
        <v>79</v>
      </c>
      <c r="P204" s="17" t="s">
        <v>22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247</v>
      </c>
      <c r="B205" s="9" t="s">
        <v>29</v>
      </c>
      <c r="C205" s="9" t="s">
        <v>29</v>
      </c>
      <c r="D205" s="10" t="s">
        <v>25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20</v>
      </c>
      <c r="M205" s="10" t="s">
        <v>26</v>
      </c>
      <c r="N205" s="10">
        <v>721</v>
      </c>
      <c r="O205" s="27" t="s">
        <v>17</v>
      </c>
      <c r="P205" s="12" t="s">
        <v>52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248</v>
      </c>
      <c r="B206" s="14" t="s">
        <v>13</v>
      </c>
      <c r="C206" s="4" t="s">
        <v>13</v>
      </c>
      <c r="D206" s="15" t="s">
        <v>34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32</v>
      </c>
      <c r="M206" s="15" t="s">
        <v>16</v>
      </c>
      <c r="N206" s="15">
        <v>788.19</v>
      </c>
      <c r="O206" s="27" t="s">
        <v>100</v>
      </c>
      <c r="P206" s="17" t="s">
        <v>65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249</v>
      </c>
      <c r="B207" s="9" t="s">
        <v>576</v>
      </c>
      <c r="C207" s="9" t="s">
        <v>576</v>
      </c>
      <c r="D207" s="10" t="s">
        <v>25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32</v>
      </c>
      <c r="M207" s="10" t="s">
        <v>26</v>
      </c>
      <c r="N207" s="10">
        <v>1095.22</v>
      </c>
      <c r="O207" s="27" t="s">
        <v>100</v>
      </c>
      <c r="P207" s="12" t="s">
        <v>63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250</v>
      </c>
      <c r="B208" s="14" t="s">
        <v>24</v>
      </c>
      <c r="C208" s="14" t="s">
        <v>24</v>
      </c>
      <c r="D208" s="15" t="s">
        <v>19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20</v>
      </c>
      <c r="M208" s="15" t="s">
        <v>26</v>
      </c>
      <c r="N208" s="15">
        <v>121.08</v>
      </c>
      <c r="O208" s="27" t="s">
        <v>41</v>
      </c>
      <c r="P208" s="17" t="s">
        <v>68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251</v>
      </c>
      <c r="B209" s="9" t="s">
        <v>29</v>
      </c>
      <c r="C209" s="9" t="s">
        <v>29</v>
      </c>
      <c r="D209" s="10" t="s">
        <v>25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20</v>
      </c>
      <c r="M209" s="10" t="s">
        <v>21</v>
      </c>
      <c r="N209" s="10">
        <v>47.74</v>
      </c>
      <c r="O209" s="27" t="s">
        <v>27</v>
      </c>
      <c r="P209" s="12" t="s">
        <v>48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252</v>
      </c>
      <c r="B210" s="14" t="s">
        <v>13</v>
      </c>
      <c r="C210" s="4" t="s">
        <v>13</v>
      </c>
      <c r="D210" s="15" t="s">
        <v>37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32</v>
      </c>
      <c r="M210" s="15" t="s">
        <v>21</v>
      </c>
      <c r="N210" s="15">
        <v>70.55</v>
      </c>
      <c r="O210" s="27" t="s">
        <v>27</v>
      </c>
      <c r="P210" s="17" t="s">
        <v>39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253</v>
      </c>
      <c r="B211" s="9" t="s">
        <v>576</v>
      </c>
      <c r="C211" s="9" t="s">
        <v>576</v>
      </c>
      <c r="D211" s="10" t="s">
        <v>34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20</v>
      </c>
      <c r="M211" s="10" t="s">
        <v>21</v>
      </c>
      <c r="N211" s="10">
        <v>970.91</v>
      </c>
      <c r="O211" s="27" t="s">
        <v>17</v>
      </c>
      <c r="P211" s="12" t="s">
        <v>17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254</v>
      </c>
      <c r="B212" s="14" t="s">
        <v>24</v>
      </c>
      <c r="C212" s="14" t="s">
        <v>24</v>
      </c>
      <c r="D212" s="15" t="s">
        <v>14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20</v>
      </c>
      <c r="M212" s="15" t="s">
        <v>21</v>
      </c>
      <c r="N212" s="15">
        <v>478.55</v>
      </c>
      <c r="O212" s="27" t="s">
        <v>100</v>
      </c>
      <c r="P212" s="17" t="s">
        <v>65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255</v>
      </c>
      <c r="B213" s="9" t="s">
        <v>29</v>
      </c>
      <c r="C213" s="9" t="s">
        <v>29</v>
      </c>
      <c r="D213" s="10" t="s">
        <v>37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32</v>
      </c>
      <c r="M213" s="10" t="s">
        <v>16</v>
      </c>
      <c r="N213" s="10">
        <v>133.02000000000001</v>
      </c>
      <c r="O213" s="27" t="s">
        <v>100</v>
      </c>
      <c r="P213" s="12" t="s">
        <v>100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256</v>
      </c>
      <c r="B214" s="14" t="s">
        <v>13</v>
      </c>
      <c r="C214" s="4" t="s">
        <v>13</v>
      </c>
      <c r="D214" s="15" t="s">
        <v>34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32</v>
      </c>
      <c r="M214" s="15" t="s">
        <v>21</v>
      </c>
      <c r="N214" s="15">
        <v>161.16</v>
      </c>
      <c r="O214" s="27" t="s">
        <v>100</v>
      </c>
      <c r="P214" s="17" t="s">
        <v>63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257</v>
      </c>
      <c r="B215" s="9" t="s">
        <v>576</v>
      </c>
      <c r="C215" s="9" t="s">
        <v>576</v>
      </c>
      <c r="D215" s="10" t="s">
        <v>34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32</v>
      </c>
      <c r="M215" s="10" t="s">
        <v>16</v>
      </c>
      <c r="N215" s="10">
        <v>774.75</v>
      </c>
      <c r="O215" s="27" t="s">
        <v>41</v>
      </c>
      <c r="P215" s="12" t="s">
        <v>44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258</v>
      </c>
      <c r="B216" s="14" t="s">
        <v>24</v>
      </c>
      <c r="C216" s="14" t="s">
        <v>24</v>
      </c>
      <c r="D216" s="15" t="s">
        <v>14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15</v>
      </c>
      <c r="L216" s="15" t="s">
        <v>15</v>
      </c>
      <c r="M216" s="15" t="s">
        <v>16</v>
      </c>
      <c r="N216" s="15">
        <v>77.209999999999994</v>
      </c>
      <c r="O216" s="27" t="s">
        <v>27</v>
      </c>
      <c r="P216" s="17" t="s">
        <v>48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259</v>
      </c>
      <c r="B217" s="9" t="s">
        <v>29</v>
      </c>
      <c r="C217" s="9" t="s">
        <v>29</v>
      </c>
      <c r="D217" s="10" t="s">
        <v>19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20</v>
      </c>
      <c r="M217" s="10" t="s">
        <v>21</v>
      </c>
      <c r="N217" s="10">
        <v>21.73</v>
      </c>
      <c r="O217" s="27" t="s">
        <v>79</v>
      </c>
      <c r="P217" s="12" t="s">
        <v>22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260</v>
      </c>
      <c r="B218" s="14" t="s">
        <v>13</v>
      </c>
      <c r="C218" s="4" t="s">
        <v>13</v>
      </c>
      <c r="D218" s="15" t="s">
        <v>37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32</v>
      </c>
      <c r="M218" s="15" t="s">
        <v>21</v>
      </c>
      <c r="N218" s="15">
        <v>509.07</v>
      </c>
      <c r="O218" s="27" t="s">
        <v>79</v>
      </c>
      <c r="P218" s="17" t="s">
        <v>55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261</v>
      </c>
      <c r="B219" s="9" t="s">
        <v>576</v>
      </c>
      <c r="C219" s="9" t="s">
        <v>576</v>
      </c>
      <c r="D219" s="10" t="s">
        <v>14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20</v>
      </c>
      <c r="M219" s="10" t="s">
        <v>21</v>
      </c>
      <c r="N219" s="10">
        <v>369.28</v>
      </c>
      <c r="O219" s="27" t="s">
        <v>27</v>
      </c>
      <c r="P219" s="12" t="s">
        <v>39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262</v>
      </c>
      <c r="B220" s="14" t="s">
        <v>24</v>
      </c>
      <c r="C220" s="14" t="s">
        <v>24</v>
      </c>
      <c r="D220" s="15" t="s">
        <v>14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15</v>
      </c>
      <c r="L220" s="15" t="s">
        <v>15</v>
      </c>
      <c r="M220" s="15" t="s">
        <v>26</v>
      </c>
      <c r="N220" s="15">
        <v>110.39</v>
      </c>
      <c r="O220" s="27" t="s">
        <v>35</v>
      </c>
      <c r="P220" s="17" t="s">
        <v>58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263</v>
      </c>
      <c r="B221" s="9" t="s">
        <v>29</v>
      </c>
      <c r="C221" s="9" t="s">
        <v>29</v>
      </c>
      <c r="D221" s="10" t="s">
        <v>19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32</v>
      </c>
      <c r="M221" s="10" t="s">
        <v>21</v>
      </c>
      <c r="N221" s="10">
        <v>700.49</v>
      </c>
      <c r="O221" s="27" t="s">
        <v>41</v>
      </c>
      <c r="P221" s="12" t="s">
        <v>44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264</v>
      </c>
      <c r="B222" s="14" t="s">
        <v>13</v>
      </c>
      <c r="C222" s="4" t="s">
        <v>13</v>
      </c>
      <c r="D222" s="15" t="s">
        <v>37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32</v>
      </c>
      <c r="M222" s="15" t="s">
        <v>21</v>
      </c>
      <c r="N222" s="15">
        <v>909.46</v>
      </c>
      <c r="O222" s="27" t="s">
        <v>41</v>
      </c>
      <c r="P222" s="17" t="s">
        <v>68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265</v>
      </c>
      <c r="B223" s="9" t="s">
        <v>576</v>
      </c>
      <c r="C223" s="9" t="s">
        <v>576</v>
      </c>
      <c r="D223" s="10" t="s">
        <v>14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20</v>
      </c>
      <c r="M223" s="10" t="s">
        <v>16</v>
      </c>
      <c r="N223" s="10">
        <v>930.63</v>
      </c>
      <c r="O223" s="27" t="s">
        <v>35</v>
      </c>
      <c r="P223" s="12" t="s">
        <v>30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266</v>
      </c>
      <c r="B224" s="14" t="s">
        <v>24</v>
      </c>
      <c r="C224" s="14" t="s">
        <v>24</v>
      </c>
      <c r="D224" s="15" t="s">
        <v>19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20</v>
      </c>
      <c r="M224" s="15" t="s">
        <v>21</v>
      </c>
      <c r="N224" s="15">
        <v>270.37</v>
      </c>
      <c r="O224" s="27" t="s">
        <v>79</v>
      </c>
      <c r="P224" s="17" t="s">
        <v>55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267</v>
      </c>
      <c r="B225" s="9" t="s">
        <v>29</v>
      </c>
      <c r="C225" s="9" t="s">
        <v>29</v>
      </c>
      <c r="D225" s="10" t="s">
        <v>37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32</v>
      </c>
      <c r="M225" s="10" t="s">
        <v>26</v>
      </c>
      <c r="N225" s="10">
        <v>740.19</v>
      </c>
      <c r="O225" s="27" t="s">
        <v>79</v>
      </c>
      <c r="P225" s="12" t="s">
        <v>22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268</v>
      </c>
      <c r="B226" s="14" t="s">
        <v>13</v>
      </c>
      <c r="C226" s="4" t="s">
        <v>13</v>
      </c>
      <c r="D226" s="15" t="s">
        <v>25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32</v>
      </c>
      <c r="M226" s="15" t="s">
        <v>21</v>
      </c>
      <c r="N226" s="15">
        <v>385.44</v>
      </c>
      <c r="O226" s="27" t="s">
        <v>41</v>
      </c>
      <c r="P226" s="17" t="s">
        <v>41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269</v>
      </c>
      <c r="B227" s="9" t="s">
        <v>576</v>
      </c>
      <c r="C227" s="9" t="s">
        <v>576</v>
      </c>
      <c r="D227" s="10" t="s">
        <v>34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20</v>
      </c>
      <c r="M227" s="10" t="s">
        <v>21</v>
      </c>
      <c r="N227" s="10">
        <v>150.44999999999999</v>
      </c>
      <c r="O227" s="27" t="s">
        <v>35</v>
      </c>
      <c r="P227" s="12" t="s">
        <v>30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270</v>
      </c>
      <c r="B228" s="14" t="s">
        <v>24</v>
      </c>
      <c r="C228" s="14" t="s">
        <v>24</v>
      </c>
      <c r="D228" s="15" t="s">
        <v>19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20</v>
      </c>
      <c r="M228" s="15" t="s">
        <v>16</v>
      </c>
      <c r="N228" s="15">
        <v>706.04</v>
      </c>
      <c r="O228" s="27" t="s">
        <v>41</v>
      </c>
      <c r="P228" s="17" t="s">
        <v>41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271</v>
      </c>
      <c r="B229" s="9" t="s">
        <v>29</v>
      </c>
      <c r="C229" s="9" t="s">
        <v>29</v>
      </c>
      <c r="D229" s="10" t="s">
        <v>34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32</v>
      </c>
      <c r="M229" s="10" t="s">
        <v>26</v>
      </c>
      <c r="N229" s="10">
        <v>394.98</v>
      </c>
      <c r="O229" s="27" t="s">
        <v>17</v>
      </c>
      <c r="P229" s="12" t="s">
        <v>95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272</v>
      </c>
      <c r="B230" s="14" t="s">
        <v>13</v>
      </c>
      <c r="C230" s="4" t="s">
        <v>13</v>
      </c>
      <c r="D230" s="15" t="s">
        <v>25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15</v>
      </c>
      <c r="L230" s="15" t="s">
        <v>15</v>
      </c>
      <c r="M230" s="15" t="s">
        <v>26</v>
      </c>
      <c r="N230" s="15">
        <v>385.71</v>
      </c>
      <c r="O230" s="27" t="s">
        <v>100</v>
      </c>
      <c r="P230" s="17" t="s">
        <v>63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273</v>
      </c>
      <c r="B231" s="9" t="s">
        <v>576</v>
      </c>
      <c r="C231" s="9" t="s">
        <v>576</v>
      </c>
      <c r="D231" s="10" t="s">
        <v>14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20</v>
      </c>
      <c r="M231" s="10" t="s">
        <v>21</v>
      </c>
      <c r="N231" s="10">
        <v>244.12</v>
      </c>
      <c r="O231" s="27" t="s">
        <v>27</v>
      </c>
      <c r="P231" s="12" t="s">
        <v>48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274</v>
      </c>
      <c r="B232" s="14" t="s">
        <v>24</v>
      </c>
      <c r="C232" s="14" t="s">
        <v>24</v>
      </c>
      <c r="D232" s="15" t="s">
        <v>14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20</v>
      </c>
      <c r="M232" s="15" t="s">
        <v>26</v>
      </c>
      <c r="N232" s="15">
        <v>682.33</v>
      </c>
      <c r="O232" s="27" t="s">
        <v>17</v>
      </c>
      <c r="P232" s="17" t="s">
        <v>95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275</v>
      </c>
      <c r="B233" s="9" t="s">
        <v>29</v>
      </c>
      <c r="C233" s="9" t="s">
        <v>29</v>
      </c>
      <c r="D233" s="10" t="s">
        <v>37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20</v>
      </c>
      <c r="M233" s="10" t="s">
        <v>21</v>
      </c>
      <c r="N233" s="10">
        <v>1055.96</v>
      </c>
      <c r="O233" s="27" t="s">
        <v>100</v>
      </c>
      <c r="P233" s="12" t="s">
        <v>100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276</v>
      </c>
      <c r="B234" s="14" t="s">
        <v>13</v>
      </c>
      <c r="C234" s="4" t="s">
        <v>13</v>
      </c>
      <c r="D234" s="15" t="s">
        <v>19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32</v>
      </c>
      <c r="M234" s="15" t="s">
        <v>16</v>
      </c>
      <c r="N234" s="15">
        <v>219.01</v>
      </c>
      <c r="O234" s="27" t="s">
        <v>27</v>
      </c>
      <c r="P234" s="17" t="s">
        <v>39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277</v>
      </c>
      <c r="B235" s="9" t="s">
        <v>576</v>
      </c>
      <c r="C235" s="9" t="s">
        <v>576</v>
      </c>
      <c r="D235" s="10" t="s">
        <v>19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32</v>
      </c>
      <c r="M235" s="10" t="s">
        <v>26</v>
      </c>
      <c r="N235" s="10">
        <v>144.54</v>
      </c>
      <c r="O235" s="27" t="s">
        <v>17</v>
      </c>
      <c r="P235" s="12" t="s">
        <v>95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278</v>
      </c>
      <c r="B236" s="14" t="s">
        <v>24</v>
      </c>
      <c r="C236" s="14" t="s">
        <v>24</v>
      </c>
      <c r="D236" s="15" t="s">
        <v>37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32</v>
      </c>
      <c r="M236" s="15" t="s">
        <v>21</v>
      </c>
      <c r="N236" s="15">
        <v>692.61</v>
      </c>
      <c r="O236" s="27" t="s">
        <v>35</v>
      </c>
      <c r="P236" s="17" t="s">
        <v>58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279</v>
      </c>
      <c r="B237" s="9" t="s">
        <v>29</v>
      </c>
      <c r="C237" s="9" t="s">
        <v>29</v>
      </c>
      <c r="D237" s="10" t="s">
        <v>34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20</v>
      </c>
      <c r="M237" s="10" t="s">
        <v>16</v>
      </c>
      <c r="N237" s="10">
        <v>122.23</v>
      </c>
      <c r="O237" s="27" t="s">
        <v>79</v>
      </c>
      <c r="P237" s="12" t="s">
        <v>79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280</v>
      </c>
      <c r="B238" s="14" t="s">
        <v>13</v>
      </c>
      <c r="C238" s="4" t="s">
        <v>13</v>
      </c>
      <c r="D238" s="15" t="s">
        <v>14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20</v>
      </c>
      <c r="M238" s="15" t="s">
        <v>16</v>
      </c>
      <c r="N238" s="15">
        <v>99.39</v>
      </c>
      <c r="O238" s="27" t="s">
        <v>17</v>
      </c>
      <c r="P238" s="17" t="s">
        <v>17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281</v>
      </c>
      <c r="B239" s="9" t="s">
        <v>576</v>
      </c>
      <c r="C239" s="9" t="s">
        <v>576</v>
      </c>
      <c r="D239" s="10" t="s">
        <v>14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15</v>
      </c>
      <c r="L239" s="10" t="s">
        <v>15</v>
      </c>
      <c r="M239" s="10" t="s">
        <v>21</v>
      </c>
      <c r="N239" s="10">
        <v>600.08000000000004</v>
      </c>
      <c r="O239" s="27" t="s">
        <v>35</v>
      </c>
      <c r="P239" s="12" t="s">
        <v>58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282</v>
      </c>
      <c r="B240" s="14" t="s">
        <v>24</v>
      </c>
      <c r="C240" s="14" t="s">
        <v>24</v>
      </c>
      <c r="D240" s="15" t="s">
        <v>19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32</v>
      </c>
      <c r="M240" s="15" t="s">
        <v>16</v>
      </c>
      <c r="N240" s="15">
        <v>427.47</v>
      </c>
      <c r="O240" s="27" t="s">
        <v>100</v>
      </c>
      <c r="P240" s="17" t="s">
        <v>65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283</v>
      </c>
      <c r="B241" s="9" t="s">
        <v>29</v>
      </c>
      <c r="C241" s="9" t="s">
        <v>29</v>
      </c>
      <c r="D241" s="10" t="s">
        <v>19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32</v>
      </c>
      <c r="M241" s="10" t="s">
        <v>16</v>
      </c>
      <c r="N241" s="10">
        <v>83.32</v>
      </c>
      <c r="O241" s="27" t="s">
        <v>100</v>
      </c>
      <c r="P241" s="12" t="s">
        <v>65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284</v>
      </c>
      <c r="B242" s="14" t="s">
        <v>13</v>
      </c>
      <c r="C242" s="4" t="s">
        <v>13</v>
      </c>
      <c r="D242" s="15" t="s">
        <v>37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20</v>
      </c>
      <c r="M242" s="15" t="s">
        <v>21</v>
      </c>
      <c r="N242" s="15">
        <v>358.48</v>
      </c>
      <c r="O242" s="27" t="s">
        <v>79</v>
      </c>
      <c r="P242" s="17" t="s">
        <v>55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285</v>
      </c>
      <c r="B243" s="9" t="s">
        <v>576</v>
      </c>
      <c r="C243" s="9" t="s">
        <v>576</v>
      </c>
      <c r="D243" s="10" t="s">
        <v>25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20</v>
      </c>
      <c r="M243" s="10" t="s">
        <v>26</v>
      </c>
      <c r="N243" s="10">
        <v>209.28</v>
      </c>
      <c r="O243" s="27" t="s">
        <v>27</v>
      </c>
      <c r="P243" s="12" t="s">
        <v>39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286</v>
      </c>
      <c r="B244" s="14" t="s">
        <v>24</v>
      </c>
      <c r="C244" s="14" t="s">
        <v>24</v>
      </c>
      <c r="D244" s="15" t="s">
        <v>34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15</v>
      </c>
      <c r="L244" s="15" t="s">
        <v>15</v>
      </c>
      <c r="M244" s="15" t="s">
        <v>26</v>
      </c>
      <c r="N244" s="15">
        <v>1090.8399999999999</v>
      </c>
      <c r="O244" s="27" t="s">
        <v>27</v>
      </c>
      <c r="P244" s="17" t="s">
        <v>48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287</v>
      </c>
      <c r="B245" s="9" t="s">
        <v>29</v>
      </c>
      <c r="C245" s="9" t="s">
        <v>29</v>
      </c>
      <c r="D245" s="10" t="s">
        <v>25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20</v>
      </c>
      <c r="M245" s="10" t="s">
        <v>16</v>
      </c>
      <c r="N245" s="10">
        <v>124.78</v>
      </c>
      <c r="O245" s="27" t="s">
        <v>79</v>
      </c>
      <c r="P245" s="12" t="s">
        <v>22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288</v>
      </c>
      <c r="B246" s="14" t="s">
        <v>13</v>
      </c>
      <c r="C246" s="4" t="s">
        <v>13</v>
      </c>
      <c r="D246" s="15" t="s">
        <v>25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20</v>
      </c>
      <c r="M246" s="15" t="s">
        <v>21</v>
      </c>
      <c r="N246" s="15">
        <v>627.83000000000004</v>
      </c>
      <c r="O246" s="27" t="s">
        <v>35</v>
      </c>
      <c r="P246" s="17" t="s">
        <v>30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289</v>
      </c>
      <c r="B247" s="9" t="s">
        <v>576</v>
      </c>
      <c r="C247" s="9" t="s">
        <v>576</v>
      </c>
      <c r="D247" s="10" t="s">
        <v>19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20</v>
      </c>
      <c r="M247" s="10" t="s">
        <v>26</v>
      </c>
      <c r="N247" s="10">
        <v>656.86</v>
      </c>
      <c r="O247" s="27" t="s">
        <v>100</v>
      </c>
      <c r="P247" s="12" t="s">
        <v>100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290</v>
      </c>
      <c r="B248" s="14" t="s">
        <v>24</v>
      </c>
      <c r="C248" s="14" t="s">
        <v>24</v>
      </c>
      <c r="D248" s="15" t="s">
        <v>19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15</v>
      </c>
      <c r="L248" s="15" t="s">
        <v>15</v>
      </c>
      <c r="M248" s="15" t="s">
        <v>26</v>
      </c>
      <c r="N248" s="15">
        <v>710.07</v>
      </c>
      <c r="O248" s="27" t="s">
        <v>27</v>
      </c>
      <c r="P248" s="17" t="s">
        <v>48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291</v>
      </c>
      <c r="B249" s="9" t="s">
        <v>29</v>
      </c>
      <c r="C249" s="9" t="s">
        <v>29</v>
      </c>
      <c r="D249" s="10" t="s">
        <v>19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15</v>
      </c>
      <c r="L249" s="10" t="s">
        <v>15</v>
      </c>
      <c r="M249" s="10" t="s">
        <v>16</v>
      </c>
      <c r="N249" s="10">
        <v>374.36</v>
      </c>
      <c r="O249" s="27" t="s">
        <v>41</v>
      </c>
      <c r="P249" s="12" t="s">
        <v>44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292</v>
      </c>
      <c r="B250" s="14" t="s">
        <v>13</v>
      </c>
      <c r="C250" s="4" t="s">
        <v>13</v>
      </c>
      <c r="D250" s="15" t="s">
        <v>25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15</v>
      </c>
      <c r="L250" s="15" t="s">
        <v>15</v>
      </c>
      <c r="M250" s="15" t="s">
        <v>16</v>
      </c>
      <c r="N250" s="15">
        <v>214.85</v>
      </c>
      <c r="O250" s="27" t="s">
        <v>79</v>
      </c>
      <c r="P250" s="17" t="s">
        <v>55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293</v>
      </c>
      <c r="B251" s="9" t="s">
        <v>576</v>
      </c>
      <c r="C251" s="9" t="s">
        <v>576</v>
      </c>
      <c r="D251" s="10" t="s">
        <v>34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15</v>
      </c>
      <c r="L251" s="10" t="s">
        <v>15</v>
      </c>
      <c r="M251" s="10" t="s">
        <v>26</v>
      </c>
      <c r="N251" s="10">
        <v>675.38</v>
      </c>
      <c r="O251" s="27" t="s">
        <v>27</v>
      </c>
      <c r="P251" s="12" t="s">
        <v>48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294</v>
      </c>
      <c r="B252" s="14" t="s">
        <v>24</v>
      </c>
      <c r="C252" s="14" t="s">
        <v>24</v>
      </c>
      <c r="D252" s="15" t="s">
        <v>19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15</v>
      </c>
      <c r="L252" s="15" t="s">
        <v>15</v>
      </c>
      <c r="M252" s="15" t="s">
        <v>21</v>
      </c>
      <c r="N252" s="15">
        <v>906.63</v>
      </c>
      <c r="O252" s="27" t="s">
        <v>17</v>
      </c>
      <c r="P252" s="17" t="s">
        <v>17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295</v>
      </c>
      <c r="B253" s="9" t="s">
        <v>29</v>
      </c>
      <c r="C253" s="9" t="s">
        <v>29</v>
      </c>
      <c r="D253" s="10" t="s">
        <v>14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32</v>
      </c>
      <c r="M253" s="10" t="s">
        <v>21</v>
      </c>
      <c r="N253" s="10">
        <v>974.82</v>
      </c>
      <c r="O253" s="27" t="s">
        <v>100</v>
      </c>
      <c r="P253" s="12" t="s">
        <v>100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296</v>
      </c>
      <c r="B254" s="14" t="s">
        <v>13</v>
      </c>
      <c r="C254" s="4" t="s">
        <v>13</v>
      </c>
      <c r="D254" s="15" t="s">
        <v>34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20</v>
      </c>
      <c r="M254" s="15" t="s">
        <v>16</v>
      </c>
      <c r="N254" s="15">
        <v>268.47000000000003</v>
      </c>
      <c r="O254" s="27" t="s">
        <v>35</v>
      </c>
      <c r="P254" s="17" t="s">
        <v>30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297</v>
      </c>
      <c r="B255" s="9" t="s">
        <v>576</v>
      </c>
      <c r="C255" s="9" t="s">
        <v>576</v>
      </c>
      <c r="D255" s="10" t="s">
        <v>14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15</v>
      </c>
      <c r="L255" s="10" t="s">
        <v>15</v>
      </c>
      <c r="M255" s="10" t="s">
        <v>26</v>
      </c>
      <c r="N255" s="10">
        <v>179.9</v>
      </c>
      <c r="O255" s="27" t="s">
        <v>79</v>
      </c>
      <c r="P255" s="12" t="s">
        <v>55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298</v>
      </c>
      <c r="B256" s="14" t="s">
        <v>24</v>
      </c>
      <c r="C256" s="14" t="s">
        <v>24</v>
      </c>
      <c r="D256" s="15" t="s">
        <v>34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15</v>
      </c>
      <c r="L256" s="15" t="s">
        <v>15</v>
      </c>
      <c r="M256" s="15" t="s">
        <v>26</v>
      </c>
      <c r="N256" s="15">
        <v>51.66</v>
      </c>
      <c r="O256" s="27" t="s">
        <v>100</v>
      </c>
      <c r="P256" s="17" t="s">
        <v>65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299</v>
      </c>
      <c r="B257" s="9" t="s">
        <v>29</v>
      </c>
      <c r="C257" s="9" t="s">
        <v>29</v>
      </c>
      <c r="D257" s="10" t="s">
        <v>19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15</v>
      </c>
      <c r="L257" s="10" t="s">
        <v>15</v>
      </c>
      <c r="M257" s="10" t="s">
        <v>16</v>
      </c>
      <c r="N257" s="10">
        <v>330.56</v>
      </c>
      <c r="O257" s="27" t="s">
        <v>35</v>
      </c>
      <c r="P257" s="12" t="s">
        <v>58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300</v>
      </c>
      <c r="B258" s="14" t="s">
        <v>13</v>
      </c>
      <c r="C258" s="4" t="s">
        <v>13</v>
      </c>
      <c r="D258" s="15" t="s">
        <v>37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15</v>
      </c>
      <c r="L258" s="15" t="s">
        <v>15</v>
      </c>
      <c r="M258" s="15" t="s">
        <v>16</v>
      </c>
      <c r="N258" s="15">
        <v>1096.27</v>
      </c>
      <c r="O258" s="27" t="s">
        <v>41</v>
      </c>
      <c r="P258" s="17" t="s">
        <v>41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301</v>
      </c>
      <c r="B259" s="9" t="s">
        <v>576</v>
      </c>
      <c r="C259" s="9" t="s">
        <v>576</v>
      </c>
      <c r="D259" s="10" t="s">
        <v>19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20</v>
      </c>
      <c r="M259" s="10" t="s">
        <v>26</v>
      </c>
      <c r="N259" s="10">
        <v>848.11</v>
      </c>
      <c r="O259" s="27" t="s">
        <v>27</v>
      </c>
      <c r="P259" s="12" t="s">
        <v>39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302</v>
      </c>
      <c r="B260" s="14" t="s">
        <v>24</v>
      </c>
      <c r="C260" s="14" t="s">
        <v>24</v>
      </c>
      <c r="D260" s="15" t="s">
        <v>25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20</v>
      </c>
      <c r="M260" s="15" t="s">
        <v>21</v>
      </c>
      <c r="N260" s="15">
        <v>726.26</v>
      </c>
      <c r="O260" s="27" t="s">
        <v>79</v>
      </c>
      <c r="P260" s="17" t="s">
        <v>22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303</v>
      </c>
      <c r="B261" s="9" t="s">
        <v>29</v>
      </c>
      <c r="C261" s="9" t="s">
        <v>29</v>
      </c>
      <c r="D261" s="10" t="s">
        <v>25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32</v>
      </c>
      <c r="M261" s="10" t="s">
        <v>16</v>
      </c>
      <c r="N261" s="10">
        <v>106.36</v>
      </c>
      <c r="O261" s="27" t="s">
        <v>41</v>
      </c>
      <c r="P261" s="12" t="s">
        <v>41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304</v>
      </c>
      <c r="B262" s="14" t="s">
        <v>13</v>
      </c>
      <c r="C262" s="4" t="s">
        <v>13</v>
      </c>
      <c r="D262" s="15" t="s">
        <v>34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20</v>
      </c>
      <c r="M262" s="15" t="s">
        <v>21</v>
      </c>
      <c r="N262" s="15">
        <v>136.83000000000001</v>
      </c>
      <c r="O262" s="27" t="s">
        <v>35</v>
      </c>
      <c r="P262" s="17" t="s">
        <v>30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305</v>
      </c>
      <c r="B263" s="9" t="s">
        <v>576</v>
      </c>
      <c r="C263" s="9" t="s">
        <v>576</v>
      </c>
      <c r="D263" s="10" t="s">
        <v>25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15</v>
      </c>
      <c r="L263" s="10" t="s">
        <v>15</v>
      </c>
      <c r="M263" s="10" t="s">
        <v>21</v>
      </c>
      <c r="N263" s="10">
        <v>531.95000000000005</v>
      </c>
      <c r="O263" s="27" t="s">
        <v>79</v>
      </c>
      <c r="P263" s="12" t="s">
        <v>79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306</v>
      </c>
      <c r="B264" s="14" t="s">
        <v>24</v>
      </c>
      <c r="C264" s="14" t="s">
        <v>24</v>
      </c>
      <c r="D264" s="15" t="s">
        <v>19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15</v>
      </c>
      <c r="L264" s="15" t="s">
        <v>15</v>
      </c>
      <c r="M264" s="15" t="s">
        <v>26</v>
      </c>
      <c r="N264" s="15">
        <v>1235</v>
      </c>
      <c r="O264" s="27" t="s">
        <v>100</v>
      </c>
      <c r="P264" s="17" t="s">
        <v>65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307</v>
      </c>
      <c r="B265" s="9" t="s">
        <v>29</v>
      </c>
      <c r="C265" s="9" t="s">
        <v>29</v>
      </c>
      <c r="D265" s="10" t="s">
        <v>14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15</v>
      </c>
      <c r="L265" s="10" t="s">
        <v>15</v>
      </c>
      <c r="M265" s="10" t="s">
        <v>21</v>
      </c>
      <c r="N265" s="10">
        <v>405.21</v>
      </c>
      <c r="O265" s="27" t="s">
        <v>27</v>
      </c>
      <c r="P265" s="12" t="s">
        <v>39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308</v>
      </c>
      <c r="B266" s="14" t="s">
        <v>13</v>
      </c>
      <c r="C266" s="4" t="s">
        <v>13</v>
      </c>
      <c r="D266" s="15" t="s">
        <v>19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15</v>
      </c>
      <c r="L266" s="15" t="s">
        <v>15</v>
      </c>
      <c r="M266" s="15" t="s">
        <v>21</v>
      </c>
      <c r="N266" s="15">
        <v>276.95999999999998</v>
      </c>
      <c r="O266" s="27" t="s">
        <v>100</v>
      </c>
      <c r="P266" s="17" t="s">
        <v>100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309</v>
      </c>
      <c r="B267" s="9" t="s">
        <v>576</v>
      </c>
      <c r="C267" s="9" t="s">
        <v>576</v>
      </c>
      <c r="D267" s="10" t="s">
        <v>34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20</v>
      </c>
      <c r="M267" s="10" t="s">
        <v>26</v>
      </c>
      <c r="N267" s="10">
        <v>72.98</v>
      </c>
      <c r="O267" s="27" t="s">
        <v>41</v>
      </c>
      <c r="P267" s="12" t="s">
        <v>41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310</v>
      </c>
      <c r="B268" s="14" t="s">
        <v>24</v>
      </c>
      <c r="C268" s="14" t="s">
        <v>24</v>
      </c>
      <c r="D268" s="15" t="s">
        <v>25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20</v>
      </c>
      <c r="M268" s="15" t="s">
        <v>16</v>
      </c>
      <c r="N268" s="15">
        <v>55.65</v>
      </c>
      <c r="O268" s="27" t="s">
        <v>41</v>
      </c>
      <c r="P268" s="17" t="s">
        <v>41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311</v>
      </c>
      <c r="B269" s="9" t="s">
        <v>29</v>
      </c>
      <c r="C269" s="9" t="s">
        <v>29</v>
      </c>
      <c r="D269" s="10" t="s">
        <v>14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32</v>
      </c>
      <c r="M269" s="10" t="s">
        <v>21</v>
      </c>
      <c r="N269" s="10">
        <v>520.04</v>
      </c>
      <c r="O269" s="27" t="s">
        <v>41</v>
      </c>
      <c r="P269" s="12" t="s">
        <v>41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312</v>
      </c>
      <c r="B270" s="14" t="s">
        <v>13</v>
      </c>
      <c r="C270" s="4" t="s">
        <v>13</v>
      </c>
      <c r="D270" s="15" t="s">
        <v>37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20</v>
      </c>
      <c r="M270" s="15" t="s">
        <v>16</v>
      </c>
      <c r="N270" s="15">
        <v>705.97</v>
      </c>
      <c r="O270" s="27" t="s">
        <v>17</v>
      </c>
      <c r="P270" s="17" t="s">
        <v>52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313</v>
      </c>
      <c r="B271" s="9" t="s">
        <v>576</v>
      </c>
      <c r="C271" s="9" t="s">
        <v>576</v>
      </c>
      <c r="D271" s="10" t="s">
        <v>14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15</v>
      </c>
      <c r="L271" s="10" t="s">
        <v>15</v>
      </c>
      <c r="M271" s="10" t="s">
        <v>26</v>
      </c>
      <c r="N271" s="10">
        <v>369.04</v>
      </c>
      <c r="O271" s="27" t="s">
        <v>79</v>
      </c>
      <c r="P271" s="12" t="s">
        <v>79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314</v>
      </c>
      <c r="B272" s="14" t="s">
        <v>24</v>
      </c>
      <c r="C272" s="14" t="s">
        <v>24</v>
      </c>
      <c r="D272" s="15" t="s">
        <v>14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15</v>
      </c>
      <c r="L272" s="15" t="s">
        <v>15</v>
      </c>
      <c r="M272" s="15" t="s">
        <v>26</v>
      </c>
      <c r="N272" s="15">
        <v>696.38</v>
      </c>
      <c r="O272" s="27" t="s">
        <v>35</v>
      </c>
      <c r="P272" s="17" t="s">
        <v>30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315</v>
      </c>
      <c r="B273" s="9" t="s">
        <v>29</v>
      </c>
      <c r="C273" s="9" t="s">
        <v>29</v>
      </c>
      <c r="D273" s="10" t="s">
        <v>19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20</v>
      </c>
      <c r="M273" s="10" t="s">
        <v>26</v>
      </c>
      <c r="N273" s="10">
        <v>344.8</v>
      </c>
      <c r="O273" s="27" t="s">
        <v>35</v>
      </c>
      <c r="P273" s="12" t="s">
        <v>30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316</v>
      </c>
      <c r="B274" s="14" t="s">
        <v>13</v>
      </c>
      <c r="C274" s="4" t="s">
        <v>13</v>
      </c>
      <c r="D274" s="15" t="s">
        <v>37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32</v>
      </c>
      <c r="M274" s="15" t="s">
        <v>26</v>
      </c>
      <c r="N274" s="15">
        <v>399.72</v>
      </c>
      <c r="O274" s="27" t="s">
        <v>100</v>
      </c>
      <c r="P274" s="17" t="s">
        <v>65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317</v>
      </c>
      <c r="B275" s="9" t="s">
        <v>576</v>
      </c>
      <c r="C275" s="9" t="s">
        <v>576</v>
      </c>
      <c r="D275" s="10" t="s">
        <v>34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32</v>
      </c>
      <c r="M275" s="10" t="s">
        <v>26</v>
      </c>
      <c r="N275" s="10">
        <v>627.20000000000005</v>
      </c>
      <c r="O275" s="27" t="s">
        <v>100</v>
      </c>
      <c r="P275" s="12" t="s">
        <v>100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318</v>
      </c>
      <c r="B276" s="14" t="s">
        <v>24</v>
      </c>
      <c r="C276" s="14" t="s">
        <v>24</v>
      </c>
      <c r="D276" s="15" t="s">
        <v>34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20</v>
      </c>
      <c r="M276" s="15" t="s">
        <v>16</v>
      </c>
      <c r="N276" s="15">
        <v>139.74</v>
      </c>
      <c r="O276" s="27" t="s">
        <v>100</v>
      </c>
      <c r="P276" s="17" t="s">
        <v>65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319</v>
      </c>
      <c r="B277" s="9" t="s">
        <v>29</v>
      </c>
      <c r="C277" s="9" t="s">
        <v>29</v>
      </c>
      <c r="D277" s="10" t="s">
        <v>14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20</v>
      </c>
      <c r="M277" s="10" t="s">
        <v>16</v>
      </c>
      <c r="N277" s="10">
        <v>1369.07</v>
      </c>
      <c r="O277" s="27" t="s">
        <v>100</v>
      </c>
      <c r="P277" s="12" t="s">
        <v>100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320</v>
      </c>
      <c r="B278" s="14" t="s">
        <v>13</v>
      </c>
      <c r="C278" s="4" t="s">
        <v>13</v>
      </c>
      <c r="D278" s="15" t="s">
        <v>14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20</v>
      </c>
      <c r="M278" s="15" t="s">
        <v>26</v>
      </c>
      <c r="N278" s="15">
        <v>620.79</v>
      </c>
      <c r="O278" s="27" t="s">
        <v>100</v>
      </c>
      <c r="P278" s="17" t="s">
        <v>63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321</v>
      </c>
      <c r="B279" s="9" t="s">
        <v>576</v>
      </c>
      <c r="C279" s="9" t="s">
        <v>576</v>
      </c>
      <c r="D279" s="10" t="s">
        <v>25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15</v>
      </c>
      <c r="L279" s="10" t="s">
        <v>15</v>
      </c>
      <c r="M279" s="10" t="s">
        <v>21</v>
      </c>
      <c r="N279" s="10">
        <v>436.28</v>
      </c>
      <c r="O279" s="27" t="s">
        <v>79</v>
      </c>
      <c r="P279" s="12" t="s">
        <v>22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322</v>
      </c>
      <c r="B280" s="14" t="s">
        <v>24</v>
      </c>
      <c r="C280" s="14" t="s">
        <v>24</v>
      </c>
      <c r="D280" s="15" t="s">
        <v>37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20</v>
      </c>
      <c r="M280" s="15" t="s">
        <v>26</v>
      </c>
      <c r="N280" s="15">
        <v>202.72</v>
      </c>
      <c r="O280" s="27" t="s">
        <v>79</v>
      </c>
      <c r="P280" s="17" t="s">
        <v>55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323</v>
      </c>
      <c r="B281" s="9" t="s">
        <v>29</v>
      </c>
      <c r="C281" s="9" t="s">
        <v>29</v>
      </c>
      <c r="D281" s="10" t="s">
        <v>14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20</v>
      </c>
      <c r="M281" s="10" t="s">
        <v>26</v>
      </c>
      <c r="N281" s="10">
        <v>400.98</v>
      </c>
      <c r="O281" s="27" t="s">
        <v>27</v>
      </c>
      <c r="P281" s="12" t="s">
        <v>48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324</v>
      </c>
      <c r="B282" s="14" t="s">
        <v>13</v>
      </c>
      <c r="C282" s="4" t="s">
        <v>13</v>
      </c>
      <c r="D282" s="15" t="s">
        <v>25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32</v>
      </c>
      <c r="M282" s="15" t="s">
        <v>21</v>
      </c>
      <c r="N282" s="15">
        <v>139.09</v>
      </c>
      <c r="O282" s="27" t="s">
        <v>35</v>
      </c>
      <c r="P282" s="17" t="s">
        <v>58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325</v>
      </c>
      <c r="B283" s="9" t="s">
        <v>576</v>
      </c>
      <c r="C283" s="9" t="s">
        <v>576</v>
      </c>
      <c r="D283" s="10" t="s">
        <v>37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32</v>
      </c>
      <c r="M283" s="10" t="s">
        <v>21</v>
      </c>
      <c r="N283" s="10">
        <v>533.01</v>
      </c>
      <c r="O283" s="27" t="s">
        <v>35</v>
      </c>
      <c r="P283" s="12" t="s">
        <v>30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326</v>
      </c>
      <c r="B284" s="14" t="s">
        <v>24</v>
      </c>
      <c r="C284" s="14" t="s">
        <v>24</v>
      </c>
      <c r="D284" s="15" t="s">
        <v>34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15</v>
      </c>
      <c r="L284" s="15" t="s">
        <v>15</v>
      </c>
      <c r="M284" s="15" t="s">
        <v>26</v>
      </c>
      <c r="N284" s="15">
        <v>1118.01</v>
      </c>
      <c r="O284" s="27" t="s">
        <v>27</v>
      </c>
      <c r="P284" s="17" t="s">
        <v>27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327</v>
      </c>
      <c r="B285" s="9" t="s">
        <v>29</v>
      </c>
      <c r="C285" s="9" t="s">
        <v>29</v>
      </c>
      <c r="D285" s="10" t="s">
        <v>25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32</v>
      </c>
      <c r="M285" s="10" t="s">
        <v>26</v>
      </c>
      <c r="N285" s="10">
        <v>580.76</v>
      </c>
      <c r="O285" s="27" t="s">
        <v>79</v>
      </c>
      <c r="P285" s="12" t="s">
        <v>22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328</v>
      </c>
      <c r="B286" s="14" t="s">
        <v>13</v>
      </c>
      <c r="C286" s="4" t="s">
        <v>13</v>
      </c>
      <c r="D286" s="15" t="s">
        <v>37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32</v>
      </c>
      <c r="M286" s="15" t="s">
        <v>21</v>
      </c>
      <c r="N286" s="15">
        <v>362.96</v>
      </c>
      <c r="O286" s="27" t="s">
        <v>79</v>
      </c>
      <c r="P286" s="17" t="s">
        <v>22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329</v>
      </c>
      <c r="B287" s="9" t="s">
        <v>576</v>
      </c>
      <c r="C287" s="9" t="s">
        <v>576</v>
      </c>
      <c r="D287" s="10" t="s">
        <v>25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20</v>
      </c>
      <c r="M287" s="10" t="s">
        <v>21</v>
      </c>
      <c r="N287" s="10">
        <v>289.24</v>
      </c>
      <c r="O287" s="27" t="s">
        <v>79</v>
      </c>
      <c r="P287" s="12" t="s">
        <v>22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330</v>
      </c>
      <c r="B288" s="14" t="s">
        <v>24</v>
      </c>
      <c r="C288" s="14" t="s">
        <v>24</v>
      </c>
      <c r="D288" s="15" t="s">
        <v>14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32</v>
      </c>
      <c r="M288" s="15" t="s">
        <v>26</v>
      </c>
      <c r="N288" s="15">
        <v>749.57</v>
      </c>
      <c r="O288" s="27" t="s">
        <v>17</v>
      </c>
      <c r="P288" s="17" t="s">
        <v>17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331</v>
      </c>
      <c r="B289" s="9" t="s">
        <v>29</v>
      </c>
      <c r="C289" s="9" t="s">
        <v>29</v>
      </c>
      <c r="D289" s="10" t="s">
        <v>19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32</v>
      </c>
      <c r="M289" s="10" t="s">
        <v>26</v>
      </c>
      <c r="N289" s="10">
        <v>262.82</v>
      </c>
      <c r="O289" s="27" t="s">
        <v>41</v>
      </c>
      <c r="P289" s="12" t="s">
        <v>68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332</v>
      </c>
      <c r="B290" s="14" t="s">
        <v>13</v>
      </c>
      <c r="C290" s="4" t="s">
        <v>13</v>
      </c>
      <c r="D290" s="15" t="s">
        <v>34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32</v>
      </c>
      <c r="M290" s="15" t="s">
        <v>21</v>
      </c>
      <c r="N290" s="15">
        <v>367.39</v>
      </c>
      <c r="O290" s="27" t="s">
        <v>35</v>
      </c>
      <c r="P290" s="17" t="s">
        <v>58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333</v>
      </c>
      <c r="B291" s="9" t="s">
        <v>576</v>
      </c>
      <c r="C291" s="9" t="s">
        <v>576</v>
      </c>
      <c r="D291" s="10" t="s">
        <v>14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32</v>
      </c>
      <c r="M291" s="10" t="s">
        <v>26</v>
      </c>
      <c r="N291" s="10">
        <v>709.19</v>
      </c>
      <c r="O291" s="27" t="s">
        <v>41</v>
      </c>
      <c r="P291" s="12" t="s">
        <v>41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334</v>
      </c>
      <c r="B292" s="14" t="s">
        <v>24</v>
      </c>
      <c r="C292" s="14" t="s">
        <v>24</v>
      </c>
      <c r="D292" s="15" t="s">
        <v>14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32</v>
      </c>
      <c r="M292" s="15" t="s">
        <v>16</v>
      </c>
      <c r="N292" s="15">
        <v>442.59</v>
      </c>
      <c r="O292" s="27" t="s">
        <v>79</v>
      </c>
      <c r="P292" s="17" t="s">
        <v>79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335</v>
      </c>
      <c r="B293" s="9" t="s">
        <v>29</v>
      </c>
      <c r="C293" s="9" t="s">
        <v>29</v>
      </c>
      <c r="D293" s="10" t="s">
        <v>37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32</v>
      </c>
      <c r="M293" s="10" t="s">
        <v>26</v>
      </c>
      <c r="N293" s="10">
        <v>154.19</v>
      </c>
      <c r="O293" s="27" t="s">
        <v>35</v>
      </c>
      <c r="P293" s="12" t="s">
        <v>35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336</v>
      </c>
      <c r="B294" s="14" t="s">
        <v>13</v>
      </c>
      <c r="C294" s="4" t="s">
        <v>13</v>
      </c>
      <c r="D294" s="15" t="s">
        <v>25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32</v>
      </c>
      <c r="M294" s="15" t="s">
        <v>21</v>
      </c>
      <c r="N294" s="15">
        <v>753.91</v>
      </c>
      <c r="O294" s="27" t="s">
        <v>79</v>
      </c>
      <c r="P294" s="17" t="s">
        <v>55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337</v>
      </c>
      <c r="B295" s="9" t="s">
        <v>576</v>
      </c>
      <c r="C295" s="9" t="s">
        <v>576</v>
      </c>
      <c r="D295" s="10" t="s">
        <v>34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32</v>
      </c>
      <c r="M295" s="10" t="s">
        <v>16</v>
      </c>
      <c r="N295" s="10">
        <v>324.74</v>
      </c>
      <c r="O295" s="27" t="s">
        <v>35</v>
      </c>
      <c r="P295" s="12" t="s">
        <v>58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338</v>
      </c>
      <c r="B296" s="14" t="s">
        <v>24</v>
      </c>
      <c r="C296" s="14" t="s">
        <v>24</v>
      </c>
      <c r="D296" s="15" t="s">
        <v>14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15</v>
      </c>
      <c r="L296" s="15" t="s">
        <v>15</v>
      </c>
      <c r="M296" s="15" t="s">
        <v>26</v>
      </c>
      <c r="N296" s="15">
        <v>351.13</v>
      </c>
      <c r="O296" s="27" t="s">
        <v>41</v>
      </c>
      <c r="P296" s="17" t="s">
        <v>41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339</v>
      </c>
      <c r="B297" s="9" t="s">
        <v>29</v>
      </c>
      <c r="C297" s="9" t="s">
        <v>29</v>
      </c>
      <c r="D297" s="10" t="s">
        <v>37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20</v>
      </c>
      <c r="M297" s="10" t="s">
        <v>21</v>
      </c>
      <c r="N297" s="10">
        <v>263.39999999999998</v>
      </c>
      <c r="O297" s="27" t="s">
        <v>41</v>
      </c>
      <c r="P297" s="12" t="s">
        <v>44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340</v>
      </c>
      <c r="B298" s="14" t="s">
        <v>13</v>
      </c>
      <c r="C298" s="4" t="s">
        <v>13</v>
      </c>
      <c r="D298" s="15" t="s">
        <v>34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32</v>
      </c>
      <c r="M298" s="15" t="s">
        <v>16</v>
      </c>
      <c r="N298" s="15">
        <v>519.6</v>
      </c>
      <c r="O298" s="27" t="s">
        <v>41</v>
      </c>
      <c r="P298" s="17" t="s">
        <v>68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341</v>
      </c>
      <c r="B299" s="9" t="s">
        <v>576</v>
      </c>
      <c r="C299" s="9" t="s">
        <v>576</v>
      </c>
      <c r="D299" s="10" t="s">
        <v>25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20</v>
      </c>
      <c r="M299" s="10" t="s">
        <v>21</v>
      </c>
      <c r="N299" s="10">
        <v>1102.6300000000001</v>
      </c>
      <c r="O299" s="27" t="s">
        <v>27</v>
      </c>
      <c r="P299" s="12" t="s">
        <v>27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342</v>
      </c>
      <c r="B300" s="14" t="s">
        <v>24</v>
      </c>
      <c r="C300" s="14" t="s">
        <v>24</v>
      </c>
      <c r="D300" s="15" t="s">
        <v>14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32</v>
      </c>
      <c r="M300" s="15" t="s">
        <v>26</v>
      </c>
      <c r="N300" s="15">
        <v>690.48</v>
      </c>
      <c r="O300" s="27" t="s">
        <v>41</v>
      </c>
      <c r="P300" s="17" t="s">
        <v>68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343</v>
      </c>
      <c r="B301" s="9" t="s">
        <v>29</v>
      </c>
      <c r="C301" s="9" t="s">
        <v>29</v>
      </c>
      <c r="D301" s="10" t="s">
        <v>14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15</v>
      </c>
      <c r="L301" s="10" t="s">
        <v>15</v>
      </c>
      <c r="M301" s="10" t="s">
        <v>16</v>
      </c>
      <c r="N301" s="10">
        <v>196.2</v>
      </c>
      <c r="O301" s="27" t="s">
        <v>79</v>
      </c>
      <c r="P301" s="12" t="s">
        <v>79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344</v>
      </c>
      <c r="B302" s="14" t="s">
        <v>13</v>
      </c>
      <c r="C302" s="4" t="s">
        <v>13</v>
      </c>
      <c r="D302" s="15" t="s">
        <v>14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32</v>
      </c>
      <c r="M302" s="15" t="s">
        <v>26</v>
      </c>
      <c r="N302" s="15">
        <v>424.14</v>
      </c>
      <c r="O302" s="27" t="s">
        <v>27</v>
      </c>
      <c r="P302" s="17" t="s">
        <v>27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345</v>
      </c>
      <c r="B303" s="9" t="s">
        <v>576</v>
      </c>
      <c r="C303" s="9" t="s">
        <v>576</v>
      </c>
      <c r="D303" s="10" t="s">
        <v>34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15</v>
      </c>
      <c r="L303" s="10" t="s">
        <v>15</v>
      </c>
      <c r="M303" s="10" t="s">
        <v>16</v>
      </c>
      <c r="N303" s="10">
        <v>29.94</v>
      </c>
      <c r="O303" s="27" t="s">
        <v>100</v>
      </c>
      <c r="P303" s="12" t="s">
        <v>65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346</v>
      </c>
      <c r="B304" s="14" t="s">
        <v>24</v>
      </c>
      <c r="C304" s="14" t="s">
        <v>24</v>
      </c>
      <c r="D304" s="15" t="s">
        <v>34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32</v>
      </c>
      <c r="M304" s="15" t="s">
        <v>26</v>
      </c>
      <c r="N304" s="15">
        <v>125.52</v>
      </c>
      <c r="O304" s="27" t="s">
        <v>27</v>
      </c>
      <c r="P304" s="17" t="s">
        <v>48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347</v>
      </c>
      <c r="B305" s="9" t="s">
        <v>29</v>
      </c>
      <c r="C305" s="9" t="s">
        <v>29</v>
      </c>
      <c r="D305" s="10" t="s">
        <v>34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32</v>
      </c>
      <c r="M305" s="10" t="s">
        <v>16</v>
      </c>
      <c r="N305" s="10">
        <v>800.8</v>
      </c>
      <c r="O305" s="27" t="s">
        <v>79</v>
      </c>
      <c r="P305" s="12" t="s">
        <v>55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348</v>
      </c>
      <c r="B306" s="14" t="s">
        <v>13</v>
      </c>
      <c r="C306" s="4" t="s">
        <v>13</v>
      </c>
      <c r="D306" s="15" t="s">
        <v>34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20</v>
      </c>
      <c r="M306" s="15" t="s">
        <v>21</v>
      </c>
      <c r="N306" s="15">
        <v>117.22</v>
      </c>
      <c r="O306" s="27" t="s">
        <v>79</v>
      </c>
      <c r="P306" s="17" t="s">
        <v>22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349</v>
      </c>
      <c r="B307" s="9" t="s">
        <v>576</v>
      </c>
      <c r="C307" s="9" t="s">
        <v>576</v>
      </c>
      <c r="D307" s="10" t="s">
        <v>37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32</v>
      </c>
      <c r="M307" s="10" t="s">
        <v>26</v>
      </c>
      <c r="N307" s="10">
        <v>491.84</v>
      </c>
      <c r="O307" s="27" t="s">
        <v>35</v>
      </c>
      <c r="P307" s="12" t="s">
        <v>35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350</v>
      </c>
      <c r="B308" s="14" t="s">
        <v>24</v>
      </c>
      <c r="C308" s="14" t="s">
        <v>24</v>
      </c>
      <c r="D308" s="15" t="s">
        <v>19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32</v>
      </c>
      <c r="M308" s="15" t="s">
        <v>26</v>
      </c>
      <c r="N308" s="15">
        <v>245.99</v>
      </c>
      <c r="O308" s="27" t="s">
        <v>27</v>
      </c>
      <c r="P308" s="17" t="s">
        <v>39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351</v>
      </c>
      <c r="B309" s="9" t="s">
        <v>29</v>
      </c>
      <c r="C309" s="9" t="s">
        <v>29</v>
      </c>
      <c r="D309" s="10" t="s">
        <v>37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15</v>
      </c>
      <c r="L309" s="10" t="s">
        <v>15</v>
      </c>
      <c r="M309" s="10" t="s">
        <v>21</v>
      </c>
      <c r="N309" s="10">
        <v>665.8</v>
      </c>
      <c r="O309" s="27" t="s">
        <v>17</v>
      </c>
      <c r="P309" s="12" t="s">
        <v>95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352</v>
      </c>
      <c r="B310" s="14" t="s">
        <v>13</v>
      </c>
      <c r="C310" s="4" t="s">
        <v>13</v>
      </c>
      <c r="D310" s="15" t="s">
        <v>14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20</v>
      </c>
      <c r="M310" s="15" t="s">
        <v>26</v>
      </c>
      <c r="N310" s="15">
        <v>362.88</v>
      </c>
      <c r="O310" s="27" t="s">
        <v>27</v>
      </c>
      <c r="P310" s="17" t="s">
        <v>48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353</v>
      </c>
      <c r="B311" s="9" t="s">
        <v>576</v>
      </c>
      <c r="C311" s="9" t="s">
        <v>576</v>
      </c>
      <c r="D311" s="10" t="s">
        <v>37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32</v>
      </c>
      <c r="M311" s="10" t="s">
        <v>16</v>
      </c>
      <c r="N311" s="10">
        <v>234</v>
      </c>
      <c r="O311" s="27" t="s">
        <v>35</v>
      </c>
      <c r="P311" s="12" t="s">
        <v>30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354</v>
      </c>
      <c r="B312" s="14" t="s">
        <v>24</v>
      </c>
      <c r="C312" s="14" t="s">
        <v>24</v>
      </c>
      <c r="D312" s="15" t="s">
        <v>25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20</v>
      </c>
      <c r="M312" s="15" t="s">
        <v>21</v>
      </c>
      <c r="N312" s="15">
        <v>1033.49</v>
      </c>
      <c r="O312" s="27" t="s">
        <v>100</v>
      </c>
      <c r="P312" s="17" t="s">
        <v>100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355</v>
      </c>
      <c r="B313" s="9" t="s">
        <v>29</v>
      </c>
      <c r="C313" s="9" t="s">
        <v>29</v>
      </c>
      <c r="D313" s="10" t="s">
        <v>34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20</v>
      </c>
      <c r="M313" s="10" t="s">
        <v>16</v>
      </c>
      <c r="N313" s="10">
        <v>116.61</v>
      </c>
      <c r="O313" s="27" t="s">
        <v>79</v>
      </c>
      <c r="P313" s="12" t="s">
        <v>55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356</v>
      </c>
      <c r="B314" s="14" t="s">
        <v>13</v>
      </c>
      <c r="C314" s="4" t="s">
        <v>13</v>
      </c>
      <c r="D314" s="15" t="s">
        <v>25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32</v>
      </c>
      <c r="M314" s="15" t="s">
        <v>21</v>
      </c>
      <c r="N314" s="15">
        <v>309.11</v>
      </c>
      <c r="O314" s="27" t="s">
        <v>100</v>
      </c>
      <c r="P314" s="17" t="s">
        <v>63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357</v>
      </c>
      <c r="B315" s="9" t="s">
        <v>576</v>
      </c>
      <c r="C315" s="9" t="s">
        <v>576</v>
      </c>
      <c r="D315" s="10" t="s">
        <v>25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32</v>
      </c>
      <c r="M315" s="10" t="s">
        <v>16</v>
      </c>
      <c r="N315" s="10">
        <v>237.24</v>
      </c>
      <c r="O315" s="27" t="s">
        <v>35</v>
      </c>
      <c r="P315" s="12" t="s">
        <v>58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358</v>
      </c>
      <c r="B316" s="14" t="s">
        <v>24</v>
      </c>
      <c r="C316" s="14" t="s">
        <v>24</v>
      </c>
      <c r="D316" s="15" t="s">
        <v>14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32</v>
      </c>
      <c r="M316" s="15" t="s">
        <v>26</v>
      </c>
      <c r="N316" s="15">
        <v>108.85</v>
      </c>
      <c r="O316" s="27" t="s">
        <v>35</v>
      </c>
      <c r="P316" s="17" t="s">
        <v>58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359</v>
      </c>
      <c r="B317" s="9" t="s">
        <v>29</v>
      </c>
      <c r="C317" s="9" t="s">
        <v>29</v>
      </c>
      <c r="D317" s="10" t="s">
        <v>34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32</v>
      </c>
      <c r="M317" s="10" t="s">
        <v>16</v>
      </c>
      <c r="N317" s="10">
        <v>24.31</v>
      </c>
      <c r="O317" s="27" t="s">
        <v>17</v>
      </c>
      <c r="P317" s="12" t="s">
        <v>95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360</v>
      </c>
      <c r="B318" s="14" t="s">
        <v>13</v>
      </c>
      <c r="C318" s="4" t="s">
        <v>13</v>
      </c>
      <c r="D318" s="15" t="s">
        <v>25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32</v>
      </c>
      <c r="M318" s="15" t="s">
        <v>26</v>
      </c>
      <c r="N318" s="15">
        <v>762.19</v>
      </c>
      <c r="O318" s="27" t="s">
        <v>79</v>
      </c>
      <c r="P318" s="17" t="s">
        <v>79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361</v>
      </c>
      <c r="B319" s="9" t="s">
        <v>576</v>
      </c>
      <c r="C319" s="9" t="s">
        <v>576</v>
      </c>
      <c r="D319" s="10" t="s">
        <v>14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20</v>
      </c>
      <c r="M319" s="10" t="s">
        <v>21</v>
      </c>
      <c r="N319" s="10">
        <v>468.81</v>
      </c>
      <c r="O319" s="27" t="s">
        <v>100</v>
      </c>
      <c r="P319" s="12" t="s">
        <v>65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362</v>
      </c>
      <c r="B320" s="14" t="s">
        <v>24</v>
      </c>
      <c r="C320" s="14" t="s">
        <v>24</v>
      </c>
      <c r="D320" s="15" t="s">
        <v>34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15</v>
      </c>
      <c r="L320" s="15" t="s">
        <v>15</v>
      </c>
      <c r="M320" s="15" t="s">
        <v>16</v>
      </c>
      <c r="N320" s="15">
        <v>102.29</v>
      </c>
      <c r="O320" s="27" t="s">
        <v>35</v>
      </c>
      <c r="P320" s="17" t="s">
        <v>58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363</v>
      </c>
      <c r="B321" s="9" t="s">
        <v>29</v>
      </c>
      <c r="C321" s="9" t="s">
        <v>29</v>
      </c>
      <c r="D321" s="10" t="s">
        <v>19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20</v>
      </c>
      <c r="M321" s="10" t="s">
        <v>16</v>
      </c>
      <c r="N321" s="10">
        <v>697.79</v>
      </c>
      <c r="O321" s="27" t="s">
        <v>41</v>
      </c>
      <c r="P321" s="12" t="s">
        <v>41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364</v>
      </c>
      <c r="B322" s="14" t="s">
        <v>13</v>
      </c>
      <c r="C322" s="4" t="s">
        <v>13</v>
      </c>
      <c r="D322" s="15" t="s">
        <v>14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32</v>
      </c>
      <c r="M322" s="15" t="s">
        <v>26</v>
      </c>
      <c r="N322" s="15">
        <v>226</v>
      </c>
      <c r="O322" s="27" t="s">
        <v>35</v>
      </c>
      <c r="P322" s="17" t="s">
        <v>58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365</v>
      </c>
      <c r="B323" s="9" t="s">
        <v>576</v>
      </c>
      <c r="C323" s="9" t="s">
        <v>576</v>
      </c>
      <c r="D323" s="10" t="s">
        <v>37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20</v>
      </c>
      <c r="M323" s="10" t="s">
        <v>21</v>
      </c>
      <c r="N323" s="10">
        <v>126.14</v>
      </c>
      <c r="O323" s="27" t="s">
        <v>100</v>
      </c>
      <c r="P323" s="12" t="s">
        <v>100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366</v>
      </c>
      <c r="B324" s="14" t="s">
        <v>24</v>
      </c>
      <c r="C324" s="14" t="s">
        <v>24</v>
      </c>
      <c r="D324" s="15" t="s">
        <v>34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15</v>
      </c>
      <c r="L324" s="15" t="s">
        <v>15</v>
      </c>
      <c r="M324" s="15" t="s">
        <v>26</v>
      </c>
      <c r="N324" s="15">
        <v>761.11</v>
      </c>
      <c r="O324" s="27" t="s">
        <v>41</v>
      </c>
      <c r="P324" s="17" t="s">
        <v>41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367</v>
      </c>
      <c r="B325" s="9" t="s">
        <v>29</v>
      </c>
      <c r="C325" s="9" t="s">
        <v>29</v>
      </c>
      <c r="D325" s="10" t="s">
        <v>25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20</v>
      </c>
      <c r="M325" s="10" t="s">
        <v>21</v>
      </c>
      <c r="N325" s="10">
        <v>159.93</v>
      </c>
      <c r="O325" s="27" t="s">
        <v>79</v>
      </c>
      <c r="P325" s="12" t="s">
        <v>22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368</v>
      </c>
      <c r="B326" s="14" t="s">
        <v>13</v>
      </c>
      <c r="C326" s="4" t="s">
        <v>13</v>
      </c>
      <c r="D326" s="15" t="s">
        <v>25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32</v>
      </c>
      <c r="M326" s="15" t="s">
        <v>26</v>
      </c>
      <c r="N326" s="15">
        <v>797.25</v>
      </c>
      <c r="O326" s="27" t="s">
        <v>17</v>
      </c>
      <c r="P326" s="17" t="s">
        <v>95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369</v>
      </c>
      <c r="B327" s="9" t="s">
        <v>576</v>
      </c>
      <c r="C327" s="9" t="s">
        <v>576</v>
      </c>
      <c r="D327" s="10" t="s">
        <v>37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32</v>
      </c>
      <c r="M327" s="10" t="s">
        <v>26</v>
      </c>
      <c r="N327" s="10">
        <v>117.23</v>
      </c>
      <c r="O327" s="27" t="s">
        <v>79</v>
      </c>
      <c r="P327" s="12" t="s">
        <v>55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370</v>
      </c>
      <c r="B328" s="14" t="s">
        <v>24</v>
      </c>
      <c r="C328" s="14" t="s">
        <v>24</v>
      </c>
      <c r="D328" s="15" t="s">
        <v>37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32</v>
      </c>
      <c r="M328" s="15" t="s">
        <v>26</v>
      </c>
      <c r="N328" s="15">
        <v>100.03</v>
      </c>
      <c r="O328" s="27" t="s">
        <v>35</v>
      </c>
      <c r="P328" s="17" t="s">
        <v>35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371</v>
      </c>
      <c r="B329" s="9" t="s">
        <v>29</v>
      </c>
      <c r="C329" s="9" t="s">
        <v>29</v>
      </c>
      <c r="D329" s="10" t="s">
        <v>25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15</v>
      </c>
      <c r="L329" s="10" t="s">
        <v>15</v>
      </c>
      <c r="M329" s="10" t="s">
        <v>16</v>
      </c>
      <c r="N329" s="10">
        <v>653.86</v>
      </c>
      <c r="O329" s="27" t="s">
        <v>41</v>
      </c>
      <c r="P329" s="12" t="s">
        <v>44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372</v>
      </c>
      <c r="B330" s="14" t="s">
        <v>13</v>
      </c>
      <c r="C330" s="4" t="s">
        <v>13</v>
      </c>
      <c r="D330" s="15" t="s">
        <v>34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32</v>
      </c>
      <c r="M330" s="15" t="s">
        <v>16</v>
      </c>
      <c r="N330" s="15">
        <v>1155.56</v>
      </c>
      <c r="O330" s="27" t="s">
        <v>35</v>
      </c>
      <c r="P330" s="17" t="s">
        <v>58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373</v>
      </c>
      <c r="B331" s="9" t="s">
        <v>576</v>
      </c>
      <c r="C331" s="9" t="s">
        <v>576</v>
      </c>
      <c r="D331" s="10" t="s">
        <v>14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32</v>
      </c>
      <c r="M331" s="10" t="s">
        <v>26</v>
      </c>
      <c r="N331" s="10">
        <v>902.41</v>
      </c>
      <c r="O331" s="27" t="s">
        <v>79</v>
      </c>
      <c r="P331" s="12" t="s">
        <v>79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374</v>
      </c>
      <c r="B332" s="14" t="s">
        <v>24</v>
      </c>
      <c r="C332" s="14" t="s">
        <v>24</v>
      </c>
      <c r="D332" s="15" t="s">
        <v>37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32</v>
      </c>
      <c r="M332" s="15" t="s">
        <v>21</v>
      </c>
      <c r="N332" s="15">
        <v>63.14</v>
      </c>
      <c r="O332" s="27" t="s">
        <v>79</v>
      </c>
      <c r="P332" s="17" t="s">
        <v>55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375</v>
      </c>
      <c r="B333" s="9" t="s">
        <v>29</v>
      </c>
      <c r="C333" s="9" t="s">
        <v>29</v>
      </c>
      <c r="D333" s="10" t="s">
        <v>37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32</v>
      </c>
      <c r="M333" s="10" t="s">
        <v>16</v>
      </c>
      <c r="N333" s="10">
        <v>217.76</v>
      </c>
      <c r="O333" s="27" t="s">
        <v>17</v>
      </c>
      <c r="P333" s="12" t="s">
        <v>17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376</v>
      </c>
      <c r="B334" s="14" t="s">
        <v>13</v>
      </c>
      <c r="C334" s="4" t="s">
        <v>13</v>
      </c>
      <c r="D334" s="15" t="s">
        <v>37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20</v>
      </c>
      <c r="M334" s="15" t="s">
        <v>26</v>
      </c>
      <c r="N334" s="15">
        <v>925.54</v>
      </c>
      <c r="O334" s="27" t="s">
        <v>41</v>
      </c>
      <c r="P334" s="17" t="s">
        <v>44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377</v>
      </c>
      <c r="B335" s="9" t="s">
        <v>576</v>
      </c>
      <c r="C335" s="9" t="s">
        <v>576</v>
      </c>
      <c r="D335" s="10" t="s">
        <v>19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32</v>
      </c>
      <c r="M335" s="10" t="s">
        <v>21</v>
      </c>
      <c r="N335" s="10">
        <v>388.34</v>
      </c>
      <c r="O335" s="27" t="s">
        <v>79</v>
      </c>
      <c r="P335" s="12" t="s">
        <v>55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378</v>
      </c>
      <c r="B336" s="14" t="s">
        <v>24</v>
      </c>
      <c r="C336" s="14" t="s">
        <v>24</v>
      </c>
      <c r="D336" s="15" t="s">
        <v>34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20</v>
      </c>
      <c r="M336" s="15" t="s">
        <v>21</v>
      </c>
      <c r="N336" s="15">
        <v>117.57</v>
      </c>
      <c r="O336" s="27" t="s">
        <v>100</v>
      </c>
      <c r="P336" s="17" t="s">
        <v>100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379</v>
      </c>
      <c r="B337" s="9" t="s">
        <v>29</v>
      </c>
      <c r="C337" s="9" t="s">
        <v>29</v>
      </c>
      <c r="D337" s="10" t="s">
        <v>34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15</v>
      </c>
      <c r="L337" s="10" t="s">
        <v>15</v>
      </c>
      <c r="M337" s="10" t="s">
        <v>21</v>
      </c>
      <c r="N337" s="10">
        <v>48.42</v>
      </c>
      <c r="O337" s="27" t="s">
        <v>100</v>
      </c>
      <c r="P337" s="12" t="s">
        <v>100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380</v>
      </c>
      <c r="B338" s="14" t="s">
        <v>13</v>
      </c>
      <c r="C338" s="4" t="s">
        <v>13</v>
      </c>
      <c r="D338" s="15" t="s">
        <v>34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20</v>
      </c>
      <c r="M338" s="15" t="s">
        <v>26</v>
      </c>
      <c r="N338" s="15">
        <v>536.41999999999996</v>
      </c>
      <c r="O338" s="27" t="s">
        <v>17</v>
      </c>
      <c r="P338" s="17" t="s">
        <v>17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381</v>
      </c>
      <c r="B339" s="9" t="s">
        <v>576</v>
      </c>
      <c r="C339" s="9" t="s">
        <v>576</v>
      </c>
      <c r="D339" s="10" t="s">
        <v>34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20</v>
      </c>
      <c r="M339" s="10" t="s">
        <v>16</v>
      </c>
      <c r="N339" s="10">
        <v>370.75</v>
      </c>
      <c r="O339" s="27" t="s">
        <v>100</v>
      </c>
      <c r="P339" s="12" t="s">
        <v>63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382</v>
      </c>
      <c r="B340" s="14" t="s">
        <v>24</v>
      </c>
      <c r="C340" s="14" t="s">
        <v>24</v>
      </c>
      <c r="D340" s="15" t="s">
        <v>34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20</v>
      </c>
      <c r="M340" s="15" t="s">
        <v>21</v>
      </c>
      <c r="N340" s="15">
        <v>310.11</v>
      </c>
      <c r="O340" s="27" t="s">
        <v>27</v>
      </c>
      <c r="P340" s="17" t="s">
        <v>48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383</v>
      </c>
      <c r="B341" s="9" t="s">
        <v>29</v>
      </c>
      <c r="C341" s="9" t="s">
        <v>29</v>
      </c>
      <c r="D341" s="10" t="s">
        <v>25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20</v>
      </c>
      <c r="M341" s="10" t="s">
        <v>26</v>
      </c>
      <c r="N341" s="10">
        <v>25.28</v>
      </c>
      <c r="O341" s="27" t="s">
        <v>79</v>
      </c>
      <c r="P341" s="12" t="s">
        <v>55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384</v>
      </c>
      <c r="B342" s="14" t="s">
        <v>13</v>
      </c>
      <c r="C342" s="4" t="s">
        <v>13</v>
      </c>
      <c r="D342" s="15" t="s">
        <v>37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20</v>
      </c>
      <c r="M342" s="15" t="s">
        <v>26</v>
      </c>
      <c r="N342" s="15">
        <v>270.22000000000003</v>
      </c>
      <c r="O342" s="27" t="s">
        <v>35</v>
      </c>
      <c r="P342" s="17" t="s">
        <v>30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385</v>
      </c>
      <c r="B343" s="9" t="s">
        <v>576</v>
      </c>
      <c r="C343" s="9" t="s">
        <v>576</v>
      </c>
      <c r="D343" s="10" t="s">
        <v>25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20</v>
      </c>
      <c r="M343" s="10" t="s">
        <v>26</v>
      </c>
      <c r="N343" s="10">
        <v>581.83000000000004</v>
      </c>
      <c r="O343" s="27" t="s">
        <v>79</v>
      </c>
      <c r="P343" s="12" t="s">
        <v>55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386</v>
      </c>
      <c r="B344" s="14" t="s">
        <v>24</v>
      </c>
      <c r="C344" s="14" t="s">
        <v>24</v>
      </c>
      <c r="D344" s="15" t="s">
        <v>19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15</v>
      </c>
      <c r="L344" s="15" t="s">
        <v>15</v>
      </c>
      <c r="M344" s="15" t="s">
        <v>26</v>
      </c>
      <c r="N344" s="15">
        <v>314.73</v>
      </c>
      <c r="O344" s="27" t="s">
        <v>35</v>
      </c>
      <c r="P344" s="17" t="s">
        <v>30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387</v>
      </c>
      <c r="B345" s="9" t="s">
        <v>29</v>
      </c>
      <c r="C345" s="9" t="s">
        <v>29</v>
      </c>
      <c r="D345" s="10" t="s">
        <v>14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32</v>
      </c>
      <c r="M345" s="10" t="s">
        <v>26</v>
      </c>
      <c r="N345" s="10">
        <v>413.97</v>
      </c>
      <c r="O345" s="27" t="s">
        <v>17</v>
      </c>
      <c r="P345" s="12" t="s">
        <v>52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388</v>
      </c>
      <c r="B346" s="14" t="s">
        <v>13</v>
      </c>
      <c r="C346" s="4" t="s">
        <v>13</v>
      </c>
      <c r="D346" s="15" t="s">
        <v>37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15</v>
      </c>
      <c r="L346" s="15" t="s">
        <v>15</v>
      </c>
      <c r="M346" s="15" t="s">
        <v>16</v>
      </c>
      <c r="N346" s="15">
        <v>46.96</v>
      </c>
      <c r="O346" s="27" t="s">
        <v>17</v>
      </c>
      <c r="P346" s="17" t="s">
        <v>95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389</v>
      </c>
      <c r="B347" s="9" t="s">
        <v>576</v>
      </c>
      <c r="C347" s="9" t="s">
        <v>576</v>
      </c>
      <c r="D347" s="10" t="s">
        <v>19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20</v>
      </c>
      <c r="M347" s="10" t="s">
        <v>16</v>
      </c>
      <c r="N347" s="10">
        <v>448.63</v>
      </c>
      <c r="O347" s="27" t="s">
        <v>35</v>
      </c>
      <c r="P347" s="12" t="s">
        <v>58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390</v>
      </c>
      <c r="B348" s="14" t="s">
        <v>24</v>
      </c>
      <c r="C348" s="14" t="s">
        <v>24</v>
      </c>
      <c r="D348" s="15" t="s">
        <v>25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20</v>
      </c>
      <c r="M348" s="15" t="s">
        <v>26</v>
      </c>
      <c r="N348" s="15">
        <v>300.73</v>
      </c>
      <c r="O348" s="27" t="s">
        <v>17</v>
      </c>
      <c r="P348" s="17" t="s">
        <v>52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391</v>
      </c>
      <c r="B349" s="9" t="s">
        <v>29</v>
      </c>
      <c r="C349" s="9" t="s">
        <v>29</v>
      </c>
      <c r="D349" s="10" t="s">
        <v>14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20</v>
      </c>
      <c r="M349" s="10" t="s">
        <v>16</v>
      </c>
      <c r="N349" s="10">
        <v>347.16</v>
      </c>
      <c r="O349" s="27" t="s">
        <v>41</v>
      </c>
      <c r="P349" s="12" t="s">
        <v>44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392</v>
      </c>
      <c r="B350" s="14" t="s">
        <v>13</v>
      </c>
      <c r="C350" s="4" t="s">
        <v>13</v>
      </c>
      <c r="D350" s="15" t="s">
        <v>19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15</v>
      </c>
      <c r="L350" s="15" t="s">
        <v>15</v>
      </c>
      <c r="M350" s="15" t="s">
        <v>26</v>
      </c>
      <c r="N350" s="15">
        <v>161.51</v>
      </c>
      <c r="O350" s="27" t="s">
        <v>17</v>
      </c>
      <c r="P350" s="17" t="s">
        <v>17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393</v>
      </c>
      <c r="B351" s="9" t="s">
        <v>576</v>
      </c>
      <c r="C351" s="9" t="s">
        <v>576</v>
      </c>
      <c r="D351" s="10" t="s">
        <v>14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20</v>
      </c>
      <c r="M351" s="10" t="s">
        <v>21</v>
      </c>
      <c r="N351" s="10">
        <v>46.99</v>
      </c>
      <c r="O351" s="27" t="s">
        <v>100</v>
      </c>
      <c r="P351" s="12" t="s">
        <v>63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394</v>
      </c>
      <c r="B352" s="14" t="s">
        <v>24</v>
      </c>
      <c r="C352" s="14" t="s">
        <v>24</v>
      </c>
      <c r="D352" s="15" t="s">
        <v>19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15</v>
      </c>
      <c r="L352" s="15" t="s">
        <v>15</v>
      </c>
      <c r="M352" s="15" t="s">
        <v>16</v>
      </c>
      <c r="N352" s="15">
        <v>64.56</v>
      </c>
      <c r="O352" s="27" t="s">
        <v>27</v>
      </c>
      <c r="P352" s="17" t="s">
        <v>27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395</v>
      </c>
      <c r="B353" s="9" t="s">
        <v>29</v>
      </c>
      <c r="C353" s="9" t="s">
        <v>29</v>
      </c>
      <c r="D353" s="10" t="s">
        <v>25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20</v>
      </c>
      <c r="M353" s="10" t="s">
        <v>16</v>
      </c>
      <c r="N353" s="10">
        <v>289</v>
      </c>
      <c r="O353" s="27" t="s">
        <v>79</v>
      </c>
      <c r="P353" s="12" t="s">
        <v>79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396</v>
      </c>
      <c r="B354" s="14" t="s">
        <v>13</v>
      </c>
      <c r="C354" s="4" t="s">
        <v>13</v>
      </c>
      <c r="D354" s="15" t="s">
        <v>14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20</v>
      </c>
      <c r="M354" s="15" t="s">
        <v>26</v>
      </c>
      <c r="N354" s="15">
        <v>251.49</v>
      </c>
      <c r="O354" s="27" t="s">
        <v>79</v>
      </c>
      <c r="P354" s="17" t="s">
        <v>55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397</v>
      </c>
      <c r="B355" s="9" t="s">
        <v>576</v>
      </c>
      <c r="C355" s="9" t="s">
        <v>576</v>
      </c>
      <c r="D355" s="10" t="s">
        <v>19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15</v>
      </c>
      <c r="L355" s="10" t="s">
        <v>15</v>
      </c>
      <c r="M355" s="10" t="s">
        <v>26</v>
      </c>
      <c r="N355" s="10">
        <v>399.43</v>
      </c>
      <c r="O355" s="27" t="s">
        <v>100</v>
      </c>
      <c r="P355" s="12" t="s">
        <v>100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398</v>
      </c>
      <c r="B356" s="14" t="s">
        <v>24</v>
      </c>
      <c r="C356" s="14" t="s">
        <v>24</v>
      </c>
      <c r="D356" s="15" t="s">
        <v>25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15</v>
      </c>
      <c r="L356" s="15" t="s">
        <v>15</v>
      </c>
      <c r="M356" s="15" t="s">
        <v>16</v>
      </c>
      <c r="N356" s="15">
        <v>990.91</v>
      </c>
      <c r="O356" s="27" t="s">
        <v>100</v>
      </c>
      <c r="P356" s="17" t="s">
        <v>100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399</v>
      </c>
      <c r="B357" s="9" t="s">
        <v>29</v>
      </c>
      <c r="C357" s="9" t="s">
        <v>29</v>
      </c>
      <c r="D357" s="10" t="s">
        <v>37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15</v>
      </c>
      <c r="L357" s="10" t="s">
        <v>15</v>
      </c>
      <c r="M357" s="10" t="s">
        <v>21</v>
      </c>
      <c r="N357" s="10">
        <v>197.89</v>
      </c>
      <c r="O357" s="27" t="s">
        <v>17</v>
      </c>
      <c r="P357" s="12" t="s">
        <v>95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400</v>
      </c>
      <c r="B358" s="14" t="s">
        <v>13</v>
      </c>
      <c r="C358" s="4" t="s">
        <v>13</v>
      </c>
      <c r="D358" s="15" t="s">
        <v>25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15</v>
      </c>
      <c r="L358" s="15" t="s">
        <v>15</v>
      </c>
      <c r="M358" s="15" t="s">
        <v>16</v>
      </c>
      <c r="N358" s="15">
        <v>697.38</v>
      </c>
      <c r="O358" s="27" t="s">
        <v>17</v>
      </c>
      <c r="P358" s="17" t="s">
        <v>52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401</v>
      </c>
      <c r="B359" s="9" t="s">
        <v>576</v>
      </c>
      <c r="C359" s="9" t="s">
        <v>576</v>
      </c>
      <c r="D359" s="10" t="s">
        <v>25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20</v>
      </c>
      <c r="M359" s="10" t="s">
        <v>16</v>
      </c>
      <c r="N359" s="10">
        <v>743.04</v>
      </c>
      <c r="O359" s="27" t="s">
        <v>27</v>
      </c>
      <c r="P359" s="12" t="s">
        <v>27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402</v>
      </c>
      <c r="B360" s="14" t="s">
        <v>24</v>
      </c>
      <c r="C360" s="14" t="s">
        <v>24</v>
      </c>
      <c r="D360" s="15" t="s">
        <v>37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20</v>
      </c>
      <c r="M360" s="15" t="s">
        <v>16</v>
      </c>
      <c r="N360" s="15">
        <v>315.05</v>
      </c>
      <c r="O360" s="27" t="s">
        <v>79</v>
      </c>
      <c r="P360" s="17" t="s">
        <v>79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403</v>
      </c>
      <c r="B361" s="9" t="s">
        <v>29</v>
      </c>
      <c r="C361" s="9" t="s">
        <v>29</v>
      </c>
      <c r="D361" s="10" t="s">
        <v>25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32</v>
      </c>
      <c r="M361" s="10" t="s">
        <v>21</v>
      </c>
      <c r="N361" s="10">
        <v>88.73</v>
      </c>
      <c r="O361" s="27" t="s">
        <v>100</v>
      </c>
      <c r="P361" s="12" t="s">
        <v>100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404</v>
      </c>
      <c r="B362" s="14" t="s">
        <v>13</v>
      </c>
      <c r="C362" s="4" t="s">
        <v>13</v>
      </c>
      <c r="D362" s="15" t="s">
        <v>37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20</v>
      </c>
      <c r="M362" s="15" t="s">
        <v>21</v>
      </c>
      <c r="N362" s="15">
        <v>319.61</v>
      </c>
      <c r="O362" s="27" t="s">
        <v>79</v>
      </c>
      <c r="P362" s="17" t="s">
        <v>55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405</v>
      </c>
      <c r="B363" s="9" t="s">
        <v>576</v>
      </c>
      <c r="C363" s="9" t="s">
        <v>576</v>
      </c>
      <c r="D363" s="10" t="s">
        <v>37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20</v>
      </c>
      <c r="M363" s="10" t="s">
        <v>26</v>
      </c>
      <c r="N363" s="10">
        <v>466.97</v>
      </c>
      <c r="O363" s="27" t="s">
        <v>27</v>
      </c>
      <c r="P363" s="12" t="s">
        <v>27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406</v>
      </c>
      <c r="B364" s="14" t="s">
        <v>24</v>
      </c>
      <c r="C364" s="14" t="s">
        <v>24</v>
      </c>
      <c r="D364" s="15" t="s">
        <v>37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20</v>
      </c>
      <c r="M364" s="15" t="s">
        <v>16</v>
      </c>
      <c r="N364" s="15">
        <v>843.52</v>
      </c>
      <c r="O364" s="27" t="s">
        <v>100</v>
      </c>
      <c r="P364" s="17" t="s">
        <v>63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407</v>
      </c>
      <c r="B365" s="9" t="s">
        <v>29</v>
      </c>
      <c r="C365" s="9" t="s">
        <v>29</v>
      </c>
      <c r="D365" s="10" t="s">
        <v>19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20</v>
      </c>
      <c r="M365" s="10" t="s">
        <v>26</v>
      </c>
      <c r="N365" s="10">
        <v>156.33000000000001</v>
      </c>
      <c r="O365" s="27" t="s">
        <v>79</v>
      </c>
      <c r="P365" s="12" t="s">
        <v>22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408</v>
      </c>
      <c r="B366" s="14" t="s">
        <v>13</v>
      </c>
      <c r="C366" s="4" t="s">
        <v>13</v>
      </c>
      <c r="D366" s="15" t="s">
        <v>14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20</v>
      </c>
      <c r="M366" s="15" t="s">
        <v>21</v>
      </c>
      <c r="N366" s="15">
        <v>298.56</v>
      </c>
      <c r="O366" s="27" t="s">
        <v>27</v>
      </c>
      <c r="P366" s="17" t="s">
        <v>27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409</v>
      </c>
      <c r="B367" s="9" t="s">
        <v>576</v>
      </c>
      <c r="C367" s="9" t="s">
        <v>576</v>
      </c>
      <c r="D367" s="10" t="s">
        <v>19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32</v>
      </c>
      <c r="M367" s="10" t="s">
        <v>16</v>
      </c>
      <c r="N367" s="10">
        <v>482.97</v>
      </c>
      <c r="O367" s="27" t="s">
        <v>17</v>
      </c>
      <c r="P367" s="12" t="s">
        <v>95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410</v>
      </c>
      <c r="B368" s="14" t="s">
        <v>24</v>
      </c>
      <c r="C368" s="14" t="s">
        <v>24</v>
      </c>
      <c r="D368" s="15" t="s">
        <v>37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15</v>
      </c>
      <c r="L368" s="15" t="s">
        <v>15</v>
      </c>
      <c r="M368" s="15" t="s">
        <v>16</v>
      </c>
      <c r="N368" s="15">
        <v>610.64</v>
      </c>
      <c r="O368" s="27" t="s">
        <v>35</v>
      </c>
      <c r="P368" s="17" t="s">
        <v>58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411</v>
      </c>
      <c r="B369" s="9" t="s">
        <v>29</v>
      </c>
      <c r="C369" s="9" t="s">
        <v>29</v>
      </c>
      <c r="D369" s="10" t="s">
        <v>14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20</v>
      </c>
      <c r="M369" s="10" t="s">
        <v>16</v>
      </c>
      <c r="N369" s="10">
        <v>664.27</v>
      </c>
      <c r="O369" s="27" t="s">
        <v>100</v>
      </c>
      <c r="P369" s="12" t="s">
        <v>63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412</v>
      </c>
      <c r="B370" s="14" t="s">
        <v>13</v>
      </c>
      <c r="C370" s="4" t="s">
        <v>13</v>
      </c>
      <c r="D370" s="15" t="s">
        <v>14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20</v>
      </c>
      <c r="M370" s="15" t="s">
        <v>16</v>
      </c>
      <c r="N370" s="15">
        <v>278.14999999999998</v>
      </c>
      <c r="O370" s="27" t="s">
        <v>79</v>
      </c>
      <c r="P370" s="17" t="s">
        <v>55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413</v>
      </c>
      <c r="B371" s="9" t="s">
        <v>576</v>
      </c>
      <c r="C371" s="9" t="s">
        <v>576</v>
      </c>
      <c r="D371" s="10" t="s">
        <v>37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15</v>
      </c>
      <c r="L371" s="10" t="s">
        <v>15</v>
      </c>
      <c r="M371" s="10" t="s">
        <v>26</v>
      </c>
      <c r="N371" s="10">
        <v>354.91</v>
      </c>
      <c r="O371" s="27" t="s">
        <v>100</v>
      </c>
      <c r="P371" s="12" t="s">
        <v>65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414</v>
      </c>
      <c r="B372" s="14" t="s">
        <v>24</v>
      </c>
      <c r="C372" s="14" t="s">
        <v>24</v>
      </c>
      <c r="D372" s="15" t="s">
        <v>14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15</v>
      </c>
      <c r="L372" s="15" t="s">
        <v>15</v>
      </c>
      <c r="M372" s="15" t="s">
        <v>16</v>
      </c>
      <c r="N372" s="15">
        <v>1039.42</v>
      </c>
      <c r="O372" s="27" t="s">
        <v>41</v>
      </c>
      <c r="P372" s="17" t="s">
        <v>68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415</v>
      </c>
      <c r="B373" s="9" t="s">
        <v>29</v>
      </c>
      <c r="C373" s="9" t="s">
        <v>29</v>
      </c>
      <c r="D373" s="10" t="s">
        <v>14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32</v>
      </c>
      <c r="M373" s="10" t="s">
        <v>21</v>
      </c>
      <c r="N373" s="10">
        <v>318.77</v>
      </c>
      <c r="O373" s="27" t="s">
        <v>41</v>
      </c>
      <c r="P373" s="12" t="s">
        <v>41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416</v>
      </c>
      <c r="B374" s="14" t="s">
        <v>13</v>
      </c>
      <c r="C374" s="4" t="s">
        <v>13</v>
      </c>
      <c r="D374" s="15" t="s">
        <v>19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32</v>
      </c>
      <c r="M374" s="15" t="s">
        <v>26</v>
      </c>
      <c r="N374" s="15">
        <v>455.08</v>
      </c>
      <c r="O374" s="27" t="s">
        <v>17</v>
      </c>
      <c r="P374" s="17" t="s">
        <v>17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417</v>
      </c>
      <c r="B375" s="9" t="s">
        <v>576</v>
      </c>
      <c r="C375" s="9" t="s">
        <v>576</v>
      </c>
      <c r="D375" s="10" t="s">
        <v>14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32</v>
      </c>
      <c r="M375" s="10" t="s">
        <v>16</v>
      </c>
      <c r="N375" s="10">
        <v>116.53</v>
      </c>
      <c r="O375" s="27" t="s">
        <v>35</v>
      </c>
      <c r="P375" s="12" t="s">
        <v>35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418</v>
      </c>
      <c r="B376" s="14" t="s">
        <v>24</v>
      </c>
      <c r="C376" s="14" t="s">
        <v>24</v>
      </c>
      <c r="D376" s="15" t="s">
        <v>37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15</v>
      </c>
      <c r="L376" s="15" t="s">
        <v>15</v>
      </c>
      <c r="M376" s="15" t="s">
        <v>26</v>
      </c>
      <c r="N376" s="15">
        <v>181.06</v>
      </c>
      <c r="O376" s="27" t="s">
        <v>100</v>
      </c>
      <c r="P376" s="17" t="s">
        <v>100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419</v>
      </c>
      <c r="B377" s="9" t="s">
        <v>29</v>
      </c>
      <c r="C377" s="9" t="s">
        <v>29</v>
      </c>
      <c r="D377" s="10" t="s">
        <v>34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20</v>
      </c>
      <c r="M377" s="10" t="s">
        <v>26</v>
      </c>
      <c r="N377" s="10">
        <v>736.04</v>
      </c>
      <c r="O377" s="27" t="s">
        <v>100</v>
      </c>
      <c r="P377" s="12" t="s">
        <v>65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420</v>
      </c>
      <c r="B378" s="14" t="s">
        <v>13</v>
      </c>
      <c r="C378" s="4" t="s">
        <v>13</v>
      </c>
      <c r="D378" s="15" t="s">
        <v>34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15</v>
      </c>
      <c r="L378" s="15" t="s">
        <v>15</v>
      </c>
      <c r="M378" s="15" t="s">
        <v>16</v>
      </c>
      <c r="N378" s="15">
        <v>119.18</v>
      </c>
      <c r="O378" s="27" t="s">
        <v>41</v>
      </c>
      <c r="P378" s="17" t="s">
        <v>41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421</v>
      </c>
      <c r="B379" s="9" t="s">
        <v>576</v>
      </c>
      <c r="C379" s="9" t="s">
        <v>576</v>
      </c>
      <c r="D379" s="10" t="s">
        <v>34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20</v>
      </c>
      <c r="M379" s="10" t="s">
        <v>21</v>
      </c>
      <c r="N379" s="10">
        <v>635.94000000000005</v>
      </c>
      <c r="O379" s="27" t="s">
        <v>27</v>
      </c>
      <c r="P379" s="12" t="s">
        <v>48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422</v>
      </c>
      <c r="B380" s="14" t="s">
        <v>24</v>
      </c>
      <c r="C380" s="14" t="s">
        <v>24</v>
      </c>
      <c r="D380" s="15" t="s">
        <v>37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15</v>
      </c>
      <c r="L380" s="15" t="s">
        <v>15</v>
      </c>
      <c r="M380" s="15" t="s">
        <v>16</v>
      </c>
      <c r="N380" s="15">
        <v>200.91</v>
      </c>
      <c r="O380" s="27" t="s">
        <v>100</v>
      </c>
      <c r="P380" s="17" t="s">
        <v>65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423</v>
      </c>
      <c r="B381" s="9" t="s">
        <v>29</v>
      </c>
      <c r="C381" s="9" t="s">
        <v>29</v>
      </c>
      <c r="D381" s="10" t="s">
        <v>34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15</v>
      </c>
      <c r="L381" s="10" t="s">
        <v>15</v>
      </c>
      <c r="M381" s="10" t="s">
        <v>16</v>
      </c>
      <c r="N381" s="10">
        <v>363.37</v>
      </c>
      <c r="O381" s="27" t="s">
        <v>100</v>
      </c>
      <c r="P381" s="12" t="s">
        <v>65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424</v>
      </c>
      <c r="B382" s="14" t="s">
        <v>13</v>
      </c>
      <c r="C382" s="4" t="s">
        <v>13</v>
      </c>
      <c r="D382" s="15" t="s">
        <v>19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15</v>
      </c>
      <c r="L382" s="15" t="s">
        <v>15</v>
      </c>
      <c r="M382" s="15" t="s">
        <v>21</v>
      </c>
      <c r="N382" s="15">
        <v>477.12</v>
      </c>
      <c r="O382" s="27" t="s">
        <v>35</v>
      </c>
      <c r="P382" s="17" t="s">
        <v>35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425</v>
      </c>
      <c r="B383" s="9" t="s">
        <v>576</v>
      </c>
      <c r="C383" s="9" t="s">
        <v>576</v>
      </c>
      <c r="D383" s="10" t="s">
        <v>37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15</v>
      </c>
      <c r="L383" s="10" t="s">
        <v>15</v>
      </c>
      <c r="M383" s="10" t="s">
        <v>16</v>
      </c>
      <c r="N383" s="10">
        <v>944.78</v>
      </c>
      <c r="O383" s="27" t="s">
        <v>79</v>
      </c>
      <c r="P383" s="12" t="s">
        <v>79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426</v>
      </c>
      <c r="B384" s="14" t="s">
        <v>24</v>
      </c>
      <c r="C384" s="14" t="s">
        <v>24</v>
      </c>
      <c r="D384" s="15" t="s">
        <v>37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20</v>
      </c>
      <c r="M384" s="15" t="s">
        <v>21</v>
      </c>
      <c r="N384" s="15">
        <v>96.16</v>
      </c>
      <c r="O384" s="27" t="s">
        <v>27</v>
      </c>
      <c r="P384" s="17" t="s">
        <v>39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427</v>
      </c>
      <c r="B385" s="9" t="s">
        <v>29</v>
      </c>
      <c r="C385" s="9" t="s">
        <v>29</v>
      </c>
      <c r="D385" s="10" t="s">
        <v>37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20</v>
      </c>
      <c r="M385" s="10" t="s">
        <v>26</v>
      </c>
      <c r="N385" s="10">
        <v>274.62</v>
      </c>
      <c r="O385" s="27" t="s">
        <v>79</v>
      </c>
      <c r="P385" s="12" t="s">
        <v>55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428</v>
      </c>
      <c r="B386" s="14" t="s">
        <v>13</v>
      </c>
      <c r="C386" s="4" t="s">
        <v>13</v>
      </c>
      <c r="D386" s="15" t="s">
        <v>14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20</v>
      </c>
      <c r="M386" s="15" t="s">
        <v>21</v>
      </c>
      <c r="N386" s="15">
        <v>268.52999999999997</v>
      </c>
      <c r="O386" s="27" t="s">
        <v>17</v>
      </c>
      <c r="P386" s="17" t="s">
        <v>17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429</v>
      </c>
      <c r="B387" s="9" t="s">
        <v>576</v>
      </c>
      <c r="C387" s="9" t="s">
        <v>576</v>
      </c>
      <c r="D387" s="10" t="s">
        <v>14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20</v>
      </c>
      <c r="M387" s="10" t="s">
        <v>26</v>
      </c>
      <c r="N387" s="10">
        <v>223.02</v>
      </c>
      <c r="O387" s="27" t="s">
        <v>79</v>
      </c>
      <c r="P387" s="12" t="s">
        <v>79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430</v>
      </c>
      <c r="B388" s="14" t="s">
        <v>24</v>
      </c>
      <c r="C388" s="14" t="s">
        <v>24</v>
      </c>
      <c r="D388" s="15" t="s">
        <v>14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32</v>
      </c>
      <c r="M388" s="15" t="s">
        <v>21</v>
      </c>
      <c r="N388" s="15">
        <v>234.09</v>
      </c>
      <c r="O388" s="27" t="s">
        <v>17</v>
      </c>
      <c r="P388" s="17" t="s">
        <v>17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431</v>
      </c>
      <c r="B389" s="9" t="s">
        <v>29</v>
      </c>
      <c r="C389" s="9" t="s">
        <v>29</v>
      </c>
      <c r="D389" s="10" t="s">
        <v>25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32</v>
      </c>
      <c r="M389" s="10" t="s">
        <v>26</v>
      </c>
      <c r="N389" s="10">
        <v>190.23</v>
      </c>
      <c r="O389" s="27" t="s">
        <v>35</v>
      </c>
      <c r="P389" s="12" t="s">
        <v>30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432</v>
      </c>
      <c r="B390" s="14" t="s">
        <v>13</v>
      </c>
      <c r="C390" s="4" t="s">
        <v>13</v>
      </c>
      <c r="D390" s="15" t="s">
        <v>19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15</v>
      </c>
      <c r="L390" s="15" t="s">
        <v>15</v>
      </c>
      <c r="M390" s="15" t="s">
        <v>21</v>
      </c>
      <c r="N390" s="15">
        <v>666.29</v>
      </c>
      <c r="O390" s="27" t="s">
        <v>17</v>
      </c>
      <c r="P390" s="17" t="s">
        <v>95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433</v>
      </c>
      <c r="B391" s="9" t="s">
        <v>576</v>
      </c>
      <c r="C391" s="9" t="s">
        <v>576</v>
      </c>
      <c r="D391" s="10" t="s">
        <v>37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20</v>
      </c>
      <c r="M391" s="10" t="s">
        <v>26</v>
      </c>
      <c r="N391" s="10">
        <v>233.82</v>
      </c>
      <c r="O391" s="27" t="s">
        <v>27</v>
      </c>
      <c r="P391" s="12" t="s">
        <v>27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434</v>
      </c>
      <c r="B392" s="14" t="s">
        <v>24</v>
      </c>
      <c r="C392" s="14" t="s">
        <v>24</v>
      </c>
      <c r="D392" s="15" t="s">
        <v>37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20</v>
      </c>
      <c r="M392" s="15" t="s">
        <v>16</v>
      </c>
      <c r="N392" s="15">
        <v>447.64</v>
      </c>
      <c r="O392" s="27" t="s">
        <v>35</v>
      </c>
      <c r="P392" s="17" t="s">
        <v>58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435</v>
      </c>
      <c r="B393" s="9" t="s">
        <v>29</v>
      </c>
      <c r="C393" s="9" t="s">
        <v>29</v>
      </c>
      <c r="D393" s="10" t="s">
        <v>14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15</v>
      </c>
      <c r="L393" s="10" t="s">
        <v>15</v>
      </c>
      <c r="M393" s="10" t="s">
        <v>21</v>
      </c>
      <c r="N393" s="10">
        <v>632.89</v>
      </c>
      <c r="O393" s="27" t="s">
        <v>100</v>
      </c>
      <c r="P393" s="12" t="s">
        <v>63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436</v>
      </c>
      <c r="B394" s="14" t="s">
        <v>13</v>
      </c>
      <c r="C394" s="4" t="s">
        <v>13</v>
      </c>
      <c r="D394" s="15" t="s">
        <v>37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15</v>
      </c>
      <c r="L394" s="15" t="s">
        <v>15</v>
      </c>
      <c r="M394" s="15" t="s">
        <v>21</v>
      </c>
      <c r="N394" s="15">
        <v>513.26</v>
      </c>
      <c r="O394" s="27" t="s">
        <v>41</v>
      </c>
      <c r="P394" s="17" t="s">
        <v>68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437</v>
      </c>
      <c r="B395" s="9" t="s">
        <v>576</v>
      </c>
      <c r="C395" s="9" t="s">
        <v>576</v>
      </c>
      <c r="D395" s="10" t="s">
        <v>37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15</v>
      </c>
      <c r="L395" s="10" t="s">
        <v>15</v>
      </c>
      <c r="M395" s="10" t="s">
        <v>26</v>
      </c>
      <c r="N395" s="10">
        <v>431.14</v>
      </c>
      <c r="O395" s="27" t="s">
        <v>100</v>
      </c>
      <c r="P395" s="12" t="s">
        <v>63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438</v>
      </c>
      <c r="B396" s="14" t="s">
        <v>24</v>
      </c>
      <c r="C396" s="14" t="s">
        <v>24</v>
      </c>
      <c r="D396" s="15" t="s">
        <v>34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20</v>
      </c>
      <c r="M396" s="15" t="s">
        <v>21</v>
      </c>
      <c r="N396" s="15">
        <v>275.87</v>
      </c>
      <c r="O396" s="27" t="s">
        <v>35</v>
      </c>
      <c r="P396" s="17" t="s">
        <v>30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439</v>
      </c>
      <c r="B397" s="9" t="s">
        <v>29</v>
      </c>
      <c r="C397" s="9" t="s">
        <v>29</v>
      </c>
      <c r="D397" s="10" t="s">
        <v>37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20</v>
      </c>
      <c r="M397" s="10" t="s">
        <v>21</v>
      </c>
      <c r="N397" s="10">
        <v>547.59</v>
      </c>
      <c r="O397" s="27" t="s">
        <v>27</v>
      </c>
      <c r="P397" s="12" t="s">
        <v>48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440</v>
      </c>
      <c r="B398" s="14" t="s">
        <v>13</v>
      </c>
      <c r="C398" s="4" t="s">
        <v>13</v>
      </c>
      <c r="D398" s="15" t="s">
        <v>25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20</v>
      </c>
      <c r="M398" s="15" t="s">
        <v>21</v>
      </c>
      <c r="N398" s="15">
        <v>367.48</v>
      </c>
      <c r="O398" s="27" t="s">
        <v>79</v>
      </c>
      <c r="P398" s="17" t="s">
        <v>22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441</v>
      </c>
      <c r="B399" s="9" t="s">
        <v>576</v>
      </c>
      <c r="C399" s="9" t="s">
        <v>576</v>
      </c>
      <c r="D399" s="10" t="s">
        <v>14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32</v>
      </c>
      <c r="M399" s="10" t="s">
        <v>21</v>
      </c>
      <c r="N399" s="10">
        <v>66.31</v>
      </c>
      <c r="O399" s="27" t="s">
        <v>27</v>
      </c>
      <c r="P399" s="12" t="s">
        <v>39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442</v>
      </c>
      <c r="B400" s="14" t="s">
        <v>24</v>
      </c>
      <c r="C400" s="14" t="s">
        <v>24</v>
      </c>
      <c r="D400" s="15" t="s">
        <v>19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15</v>
      </c>
      <c r="L400" s="15" t="s">
        <v>15</v>
      </c>
      <c r="M400" s="15" t="s">
        <v>21</v>
      </c>
      <c r="N400" s="15">
        <v>653.08000000000004</v>
      </c>
      <c r="O400" s="27" t="s">
        <v>35</v>
      </c>
      <c r="P400" s="17" t="s">
        <v>30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443</v>
      </c>
      <c r="B401" s="9" t="s">
        <v>29</v>
      </c>
      <c r="C401" s="9" t="s">
        <v>29</v>
      </c>
      <c r="D401" s="10" t="s">
        <v>19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20</v>
      </c>
      <c r="M401" s="10" t="s">
        <v>26</v>
      </c>
      <c r="N401" s="10">
        <v>484.92</v>
      </c>
      <c r="O401" s="27" t="s">
        <v>17</v>
      </c>
      <c r="P401" s="12" t="s">
        <v>52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444</v>
      </c>
      <c r="B402" s="14" t="s">
        <v>13</v>
      </c>
      <c r="C402" s="4" t="s">
        <v>13</v>
      </c>
      <c r="D402" s="15" t="s">
        <v>34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15</v>
      </c>
      <c r="L402" s="15" t="s">
        <v>15</v>
      </c>
      <c r="M402" s="15" t="s">
        <v>21</v>
      </c>
      <c r="N402" s="15">
        <v>476.38</v>
      </c>
      <c r="O402" s="27" t="s">
        <v>79</v>
      </c>
      <c r="P402" s="17" t="s">
        <v>55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445</v>
      </c>
      <c r="B403" s="9" t="s">
        <v>576</v>
      </c>
      <c r="C403" s="9" t="s">
        <v>576</v>
      </c>
      <c r="D403" s="10" t="s">
        <v>19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32</v>
      </c>
      <c r="M403" s="10" t="s">
        <v>16</v>
      </c>
      <c r="N403" s="10">
        <v>339.95</v>
      </c>
      <c r="O403" s="27" t="s">
        <v>41</v>
      </c>
      <c r="P403" s="12" t="s">
        <v>68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446</v>
      </c>
      <c r="B404" s="14" t="s">
        <v>24</v>
      </c>
      <c r="C404" s="14" t="s">
        <v>24</v>
      </c>
      <c r="D404" s="15" t="s">
        <v>19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15</v>
      </c>
      <c r="L404" s="15" t="s">
        <v>15</v>
      </c>
      <c r="M404" s="15" t="s">
        <v>16</v>
      </c>
      <c r="N404" s="15">
        <v>620.73</v>
      </c>
      <c r="O404" s="27" t="s">
        <v>79</v>
      </c>
      <c r="P404" s="17" t="s">
        <v>79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447</v>
      </c>
      <c r="B405" s="9" t="s">
        <v>29</v>
      </c>
      <c r="C405" s="9" t="s">
        <v>29</v>
      </c>
      <c r="D405" s="10" t="s">
        <v>14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20</v>
      </c>
      <c r="M405" s="10" t="s">
        <v>16</v>
      </c>
      <c r="N405" s="10">
        <v>300.44</v>
      </c>
      <c r="O405" s="27" t="s">
        <v>17</v>
      </c>
      <c r="P405" s="12" t="s">
        <v>95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448</v>
      </c>
      <c r="B406" s="14" t="s">
        <v>13</v>
      </c>
      <c r="C406" s="4" t="s">
        <v>13</v>
      </c>
      <c r="D406" s="15" t="s">
        <v>14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15</v>
      </c>
      <c r="L406" s="15" t="s">
        <v>15</v>
      </c>
      <c r="M406" s="15" t="s">
        <v>26</v>
      </c>
      <c r="N406" s="15">
        <v>138.59</v>
      </c>
      <c r="O406" s="27" t="s">
        <v>79</v>
      </c>
      <c r="P406" s="17" t="s">
        <v>79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449</v>
      </c>
      <c r="B407" s="9" t="s">
        <v>576</v>
      </c>
      <c r="C407" s="9" t="s">
        <v>576</v>
      </c>
      <c r="D407" s="10" t="s">
        <v>25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20</v>
      </c>
      <c r="M407" s="10" t="s">
        <v>21</v>
      </c>
      <c r="N407" s="10">
        <v>398.59</v>
      </c>
      <c r="O407" s="27" t="s">
        <v>17</v>
      </c>
      <c r="P407" s="12" t="s">
        <v>52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450</v>
      </c>
      <c r="B408" s="14" t="s">
        <v>24</v>
      </c>
      <c r="C408" s="14" t="s">
        <v>24</v>
      </c>
      <c r="D408" s="15" t="s">
        <v>34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32</v>
      </c>
      <c r="M408" s="15" t="s">
        <v>21</v>
      </c>
      <c r="N408" s="15">
        <v>658.39</v>
      </c>
      <c r="O408" s="27" t="s">
        <v>100</v>
      </c>
      <c r="P408" s="17" t="s">
        <v>100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451</v>
      </c>
      <c r="B409" s="9" t="s">
        <v>29</v>
      </c>
      <c r="C409" s="9" t="s">
        <v>29</v>
      </c>
      <c r="D409" s="10" t="s">
        <v>19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32</v>
      </c>
      <c r="M409" s="10" t="s">
        <v>21</v>
      </c>
      <c r="N409" s="10">
        <v>240.4</v>
      </c>
      <c r="O409" s="27" t="s">
        <v>27</v>
      </c>
      <c r="P409" s="12" t="s">
        <v>27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452</v>
      </c>
      <c r="B410" s="14" t="s">
        <v>13</v>
      </c>
      <c r="C410" s="4" t="s">
        <v>13</v>
      </c>
      <c r="D410" s="15" t="s">
        <v>25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20</v>
      </c>
      <c r="M410" s="15" t="s">
        <v>21</v>
      </c>
      <c r="N410" s="15">
        <v>160.11000000000001</v>
      </c>
      <c r="O410" s="27" t="s">
        <v>27</v>
      </c>
      <c r="P410" s="17" t="s">
        <v>27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453</v>
      </c>
      <c r="B411" s="9" t="s">
        <v>576</v>
      </c>
      <c r="C411" s="9" t="s">
        <v>576</v>
      </c>
      <c r="D411" s="10" t="s">
        <v>34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32</v>
      </c>
      <c r="M411" s="10" t="s">
        <v>26</v>
      </c>
      <c r="N411" s="10">
        <v>1145.5</v>
      </c>
      <c r="O411" s="27" t="s">
        <v>17</v>
      </c>
      <c r="P411" s="12" t="s">
        <v>52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454</v>
      </c>
      <c r="B412" s="14" t="s">
        <v>24</v>
      </c>
      <c r="C412" s="14" t="s">
        <v>24</v>
      </c>
      <c r="D412" s="15" t="s">
        <v>19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15</v>
      </c>
      <c r="L412" s="15" t="s">
        <v>15</v>
      </c>
      <c r="M412" s="15" t="s">
        <v>16</v>
      </c>
      <c r="N412" s="15">
        <v>719.59</v>
      </c>
      <c r="O412" s="27" t="s">
        <v>100</v>
      </c>
      <c r="P412" s="17" t="s">
        <v>65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455</v>
      </c>
      <c r="B413" s="9" t="s">
        <v>29</v>
      </c>
      <c r="C413" s="9" t="s">
        <v>29</v>
      </c>
      <c r="D413" s="10" t="s">
        <v>19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32</v>
      </c>
      <c r="M413" s="10" t="s">
        <v>26</v>
      </c>
      <c r="N413" s="10">
        <v>199.91</v>
      </c>
      <c r="O413" s="27" t="s">
        <v>17</v>
      </c>
      <c r="P413" s="12" t="s">
        <v>52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456</v>
      </c>
      <c r="B414" s="14" t="s">
        <v>13</v>
      </c>
      <c r="C414" s="4" t="s">
        <v>13</v>
      </c>
      <c r="D414" s="15" t="s">
        <v>14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32</v>
      </c>
      <c r="M414" s="15" t="s">
        <v>21</v>
      </c>
      <c r="N414" s="15">
        <v>321.3</v>
      </c>
      <c r="O414" s="27" t="s">
        <v>79</v>
      </c>
      <c r="P414" s="17" t="s">
        <v>55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457</v>
      </c>
      <c r="B415" s="9" t="s">
        <v>576</v>
      </c>
      <c r="C415" s="9" t="s">
        <v>576</v>
      </c>
      <c r="D415" s="10" t="s">
        <v>37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32</v>
      </c>
      <c r="M415" s="10" t="s">
        <v>21</v>
      </c>
      <c r="N415" s="10">
        <v>369.36</v>
      </c>
      <c r="O415" s="27" t="s">
        <v>27</v>
      </c>
      <c r="P415" s="12" t="s">
        <v>39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458</v>
      </c>
      <c r="B416" s="14" t="s">
        <v>24</v>
      </c>
      <c r="C416" s="14" t="s">
        <v>24</v>
      </c>
      <c r="D416" s="15" t="s">
        <v>34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32</v>
      </c>
      <c r="M416" s="15" t="s">
        <v>21</v>
      </c>
      <c r="N416" s="15">
        <v>1318.47</v>
      </c>
      <c r="O416" s="27" t="s">
        <v>27</v>
      </c>
      <c r="P416" s="17" t="s">
        <v>48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459</v>
      </c>
      <c r="B417" s="9" t="s">
        <v>29</v>
      </c>
      <c r="C417" s="9" t="s">
        <v>29</v>
      </c>
      <c r="D417" s="10" t="s">
        <v>19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20</v>
      </c>
      <c r="M417" s="10" t="s">
        <v>16</v>
      </c>
      <c r="N417" s="10">
        <v>954.08</v>
      </c>
      <c r="O417" s="27" t="s">
        <v>41</v>
      </c>
      <c r="P417" s="12" t="s">
        <v>68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460</v>
      </c>
      <c r="B418" s="14" t="s">
        <v>13</v>
      </c>
      <c r="C418" s="4" t="s">
        <v>13</v>
      </c>
      <c r="D418" s="15" t="s">
        <v>34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32</v>
      </c>
      <c r="M418" s="15" t="s">
        <v>21</v>
      </c>
      <c r="N418" s="15">
        <v>124.67</v>
      </c>
      <c r="O418" s="27" t="s">
        <v>17</v>
      </c>
      <c r="P418" s="17" t="s">
        <v>52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461</v>
      </c>
      <c r="B419" s="9" t="s">
        <v>576</v>
      </c>
      <c r="C419" s="9" t="s">
        <v>576</v>
      </c>
      <c r="D419" s="10" t="s">
        <v>25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20</v>
      </c>
      <c r="M419" s="10" t="s">
        <v>21</v>
      </c>
      <c r="N419" s="10">
        <v>1157.1600000000001</v>
      </c>
      <c r="O419" s="27" t="s">
        <v>35</v>
      </c>
      <c r="P419" s="12" t="s">
        <v>35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462</v>
      </c>
      <c r="B420" s="14" t="s">
        <v>24</v>
      </c>
      <c r="C420" s="14" t="s">
        <v>24</v>
      </c>
      <c r="D420" s="15" t="s">
        <v>25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20</v>
      </c>
      <c r="M420" s="15" t="s">
        <v>26</v>
      </c>
      <c r="N420" s="15">
        <v>66.28</v>
      </c>
      <c r="O420" s="27" t="s">
        <v>100</v>
      </c>
      <c r="P420" s="17" t="s">
        <v>63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463</v>
      </c>
      <c r="B421" s="9" t="s">
        <v>29</v>
      </c>
      <c r="C421" s="9" t="s">
        <v>29</v>
      </c>
      <c r="D421" s="10" t="s">
        <v>37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20</v>
      </c>
      <c r="M421" s="10" t="s">
        <v>21</v>
      </c>
      <c r="N421" s="10">
        <v>256.22000000000003</v>
      </c>
      <c r="O421" s="27" t="s">
        <v>17</v>
      </c>
      <c r="P421" s="12" t="s">
        <v>52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464</v>
      </c>
      <c r="B422" s="14" t="s">
        <v>13</v>
      </c>
      <c r="C422" s="4" t="s">
        <v>13</v>
      </c>
      <c r="D422" s="15" t="s">
        <v>19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15</v>
      </c>
      <c r="L422" s="15" t="s">
        <v>15</v>
      </c>
      <c r="M422" s="15" t="s">
        <v>16</v>
      </c>
      <c r="N422" s="15">
        <v>517.95000000000005</v>
      </c>
      <c r="O422" s="27" t="s">
        <v>100</v>
      </c>
      <c r="P422" s="17" t="s">
        <v>63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465</v>
      </c>
      <c r="B423" s="9" t="s">
        <v>576</v>
      </c>
      <c r="C423" s="9" t="s">
        <v>576</v>
      </c>
      <c r="D423" s="10" t="s">
        <v>14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15</v>
      </c>
      <c r="L423" s="10" t="s">
        <v>15</v>
      </c>
      <c r="M423" s="10" t="s">
        <v>26</v>
      </c>
      <c r="N423" s="10">
        <v>1006.56</v>
      </c>
      <c r="O423" s="27" t="s">
        <v>79</v>
      </c>
      <c r="P423" s="12" t="s">
        <v>79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466</v>
      </c>
      <c r="B424" s="14" t="s">
        <v>24</v>
      </c>
      <c r="C424" s="14" t="s">
        <v>24</v>
      </c>
      <c r="D424" s="15" t="s">
        <v>19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20</v>
      </c>
      <c r="M424" s="15" t="s">
        <v>21</v>
      </c>
      <c r="N424" s="15">
        <v>689.37</v>
      </c>
      <c r="O424" s="27" t="s">
        <v>100</v>
      </c>
      <c r="P424" s="17" t="s">
        <v>63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467</v>
      </c>
      <c r="B425" s="9" t="s">
        <v>29</v>
      </c>
      <c r="C425" s="9" t="s">
        <v>29</v>
      </c>
      <c r="D425" s="10" t="s">
        <v>34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15</v>
      </c>
      <c r="L425" s="10" t="s">
        <v>15</v>
      </c>
      <c r="M425" s="10" t="s">
        <v>16</v>
      </c>
      <c r="N425" s="10">
        <v>654.1</v>
      </c>
      <c r="O425" s="27" t="s">
        <v>17</v>
      </c>
      <c r="P425" s="12" t="s">
        <v>17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468</v>
      </c>
      <c r="B426" s="14" t="s">
        <v>13</v>
      </c>
      <c r="C426" s="4" t="s">
        <v>13</v>
      </c>
      <c r="D426" s="15" t="s">
        <v>25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32</v>
      </c>
      <c r="M426" s="15" t="s">
        <v>26</v>
      </c>
      <c r="N426" s="15">
        <v>84.32</v>
      </c>
      <c r="O426" s="27" t="s">
        <v>35</v>
      </c>
      <c r="P426" s="17" t="s">
        <v>35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469</v>
      </c>
      <c r="B427" s="9" t="s">
        <v>576</v>
      </c>
      <c r="C427" s="9" t="s">
        <v>576</v>
      </c>
      <c r="D427" s="10" t="s">
        <v>34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15</v>
      </c>
      <c r="L427" s="10" t="s">
        <v>15</v>
      </c>
      <c r="M427" s="10" t="s">
        <v>21</v>
      </c>
      <c r="N427" s="10">
        <v>1237.73</v>
      </c>
      <c r="O427" s="27" t="s">
        <v>100</v>
      </c>
      <c r="P427" s="12" t="s">
        <v>63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470</v>
      </c>
      <c r="B428" s="14" t="s">
        <v>24</v>
      </c>
      <c r="C428" s="14" t="s">
        <v>24</v>
      </c>
      <c r="D428" s="15" t="s">
        <v>37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32</v>
      </c>
      <c r="M428" s="15" t="s">
        <v>21</v>
      </c>
      <c r="N428" s="15">
        <v>954.37</v>
      </c>
      <c r="O428" s="27" t="s">
        <v>79</v>
      </c>
      <c r="P428" s="17" t="s">
        <v>55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471</v>
      </c>
      <c r="B429" s="9" t="s">
        <v>29</v>
      </c>
      <c r="C429" s="9" t="s">
        <v>29</v>
      </c>
      <c r="D429" s="10" t="s">
        <v>25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15</v>
      </c>
      <c r="L429" s="10" t="s">
        <v>15</v>
      </c>
      <c r="M429" s="10" t="s">
        <v>26</v>
      </c>
      <c r="N429" s="10">
        <v>162.33000000000001</v>
      </c>
      <c r="O429" s="27" t="s">
        <v>79</v>
      </c>
      <c r="P429" s="12" t="s">
        <v>22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472</v>
      </c>
      <c r="B430" s="14" t="s">
        <v>13</v>
      </c>
      <c r="C430" s="4" t="s">
        <v>13</v>
      </c>
      <c r="D430" s="15" t="s">
        <v>14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20</v>
      </c>
      <c r="M430" s="15" t="s">
        <v>16</v>
      </c>
      <c r="N430" s="15">
        <v>639.24</v>
      </c>
      <c r="O430" s="27" t="s">
        <v>79</v>
      </c>
      <c r="P430" s="17" t="s">
        <v>79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473</v>
      </c>
      <c r="B431" s="9" t="s">
        <v>576</v>
      </c>
      <c r="C431" s="9" t="s">
        <v>576</v>
      </c>
      <c r="D431" s="10" t="s">
        <v>25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20</v>
      </c>
      <c r="M431" s="10" t="s">
        <v>26</v>
      </c>
      <c r="N431" s="10">
        <v>872.99</v>
      </c>
      <c r="O431" s="27" t="s">
        <v>17</v>
      </c>
      <c r="P431" s="12" t="s">
        <v>52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474</v>
      </c>
      <c r="B432" s="14" t="s">
        <v>24</v>
      </c>
      <c r="C432" s="14" t="s">
        <v>24</v>
      </c>
      <c r="D432" s="15" t="s">
        <v>19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15</v>
      </c>
      <c r="L432" s="15" t="s">
        <v>15</v>
      </c>
      <c r="M432" s="15" t="s">
        <v>26</v>
      </c>
      <c r="N432" s="15">
        <v>558.38</v>
      </c>
      <c r="O432" s="27" t="s">
        <v>27</v>
      </c>
      <c r="P432" s="17" t="s">
        <v>39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475</v>
      </c>
      <c r="B433" s="9" t="s">
        <v>29</v>
      </c>
      <c r="C433" s="9" t="s">
        <v>29</v>
      </c>
      <c r="D433" s="10" t="s">
        <v>19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32</v>
      </c>
      <c r="M433" s="10" t="s">
        <v>16</v>
      </c>
      <c r="N433" s="10">
        <v>728.97</v>
      </c>
      <c r="O433" s="27" t="s">
        <v>17</v>
      </c>
      <c r="P433" s="12" t="s">
        <v>95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476</v>
      </c>
      <c r="B434" s="14" t="s">
        <v>13</v>
      </c>
      <c r="C434" s="4" t="s">
        <v>13</v>
      </c>
      <c r="D434" s="15" t="s">
        <v>25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32</v>
      </c>
      <c r="M434" s="15" t="s">
        <v>16</v>
      </c>
      <c r="N434" s="15">
        <v>920.08</v>
      </c>
      <c r="O434" s="27" t="s">
        <v>41</v>
      </c>
      <c r="P434" s="17" t="s">
        <v>44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477</v>
      </c>
      <c r="B435" s="9" t="s">
        <v>576</v>
      </c>
      <c r="C435" s="9" t="s">
        <v>576</v>
      </c>
      <c r="D435" s="10" t="s">
        <v>37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20</v>
      </c>
      <c r="M435" s="10" t="s">
        <v>21</v>
      </c>
      <c r="N435" s="10">
        <v>45.46</v>
      </c>
      <c r="O435" s="27" t="s">
        <v>41</v>
      </c>
      <c r="P435" s="12" t="s">
        <v>44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478</v>
      </c>
      <c r="B436" s="14" t="s">
        <v>24</v>
      </c>
      <c r="C436" s="14" t="s">
        <v>24</v>
      </c>
      <c r="D436" s="15" t="s">
        <v>19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32</v>
      </c>
      <c r="M436" s="15" t="s">
        <v>26</v>
      </c>
      <c r="N436" s="15">
        <v>628.74</v>
      </c>
      <c r="O436" s="27" t="s">
        <v>100</v>
      </c>
      <c r="P436" s="17" t="s">
        <v>65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479</v>
      </c>
      <c r="B437" s="9" t="s">
        <v>29</v>
      </c>
      <c r="C437" s="9" t="s">
        <v>29</v>
      </c>
      <c r="D437" s="10" t="s">
        <v>19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20</v>
      </c>
      <c r="M437" s="10" t="s">
        <v>21</v>
      </c>
      <c r="N437" s="10">
        <v>348.92</v>
      </c>
      <c r="O437" s="27" t="s">
        <v>100</v>
      </c>
      <c r="P437" s="12" t="s">
        <v>100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480</v>
      </c>
      <c r="B438" s="14" t="s">
        <v>13</v>
      </c>
      <c r="C438" s="4" t="s">
        <v>13</v>
      </c>
      <c r="D438" s="15" t="s">
        <v>14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15</v>
      </c>
      <c r="L438" s="15" t="s">
        <v>15</v>
      </c>
      <c r="M438" s="15" t="s">
        <v>16</v>
      </c>
      <c r="N438" s="15">
        <v>11.62</v>
      </c>
      <c r="O438" s="27" t="s">
        <v>27</v>
      </c>
      <c r="P438" s="17" t="s">
        <v>39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481</v>
      </c>
      <c r="B439" s="9" t="s">
        <v>576</v>
      </c>
      <c r="C439" s="9" t="s">
        <v>576</v>
      </c>
      <c r="D439" s="10" t="s">
        <v>25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15</v>
      </c>
      <c r="L439" s="10" t="s">
        <v>15</v>
      </c>
      <c r="M439" s="10" t="s">
        <v>26</v>
      </c>
      <c r="N439" s="10">
        <v>1202.19</v>
      </c>
      <c r="O439" s="27" t="s">
        <v>79</v>
      </c>
      <c r="P439" s="12" t="s">
        <v>79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482</v>
      </c>
      <c r="B440" s="14" t="s">
        <v>24</v>
      </c>
      <c r="C440" s="14" t="s">
        <v>24</v>
      </c>
      <c r="D440" s="15" t="s">
        <v>19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15</v>
      </c>
      <c r="L440" s="15" t="s">
        <v>15</v>
      </c>
      <c r="M440" s="15" t="s">
        <v>26</v>
      </c>
      <c r="N440" s="15">
        <v>411.68</v>
      </c>
      <c r="O440" s="27" t="s">
        <v>100</v>
      </c>
      <c r="P440" s="17" t="s">
        <v>100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483</v>
      </c>
      <c r="B441" s="9" t="s">
        <v>29</v>
      </c>
      <c r="C441" s="9" t="s">
        <v>29</v>
      </c>
      <c r="D441" s="10" t="s">
        <v>37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20</v>
      </c>
      <c r="M441" s="10" t="s">
        <v>26</v>
      </c>
      <c r="N441" s="10">
        <v>225.89</v>
      </c>
      <c r="O441" s="27" t="s">
        <v>41</v>
      </c>
      <c r="P441" s="12" t="s">
        <v>41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484</v>
      </c>
      <c r="B442" s="14" t="s">
        <v>13</v>
      </c>
      <c r="C442" s="4" t="s">
        <v>13</v>
      </c>
      <c r="D442" s="15" t="s">
        <v>34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15</v>
      </c>
      <c r="L442" s="15" t="s">
        <v>15</v>
      </c>
      <c r="M442" s="15" t="s">
        <v>16</v>
      </c>
      <c r="N442" s="15">
        <v>302.62</v>
      </c>
      <c r="O442" s="27" t="s">
        <v>41</v>
      </c>
      <c r="P442" s="17" t="s">
        <v>68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485</v>
      </c>
      <c r="B443" s="9" t="s">
        <v>576</v>
      </c>
      <c r="C443" s="9" t="s">
        <v>576</v>
      </c>
      <c r="D443" s="10" t="s">
        <v>25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32</v>
      </c>
      <c r="M443" s="10" t="s">
        <v>16</v>
      </c>
      <c r="N443" s="10">
        <v>887.13</v>
      </c>
      <c r="O443" s="27" t="s">
        <v>100</v>
      </c>
      <c r="P443" s="12" t="s">
        <v>100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486</v>
      </c>
      <c r="B444" s="14" t="s">
        <v>24</v>
      </c>
      <c r="C444" s="14" t="s">
        <v>24</v>
      </c>
      <c r="D444" s="15" t="s">
        <v>14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20</v>
      </c>
      <c r="M444" s="15" t="s">
        <v>26</v>
      </c>
      <c r="N444" s="15">
        <v>715.35</v>
      </c>
      <c r="O444" s="27" t="s">
        <v>27</v>
      </c>
      <c r="P444" s="17" t="s">
        <v>48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487</v>
      </c>
      <c r="B445" s="9" t="s">
        <v>29</v>
      </c>
      <c r="C445" s="9" t="s">
        <v>29</v>
      </c>
      <c r="D445" s="10" t="s">
        <v>19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32</v>
      </c>
      <c r="M445" s="10" t="s">
        <v>26</v>
      </c>
      <c r="N445" s="10">
        <v>416.16</v>
      </c>
      <c r="O445" s="27" t="s">
        <v>17</v>
      </c>
      <c r="P445" s="12" t="s">
        <v>52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488</v>
      </c>
      <c r="B446" s="14" t="s">
        <v>13</v>
      </c>
      <c r="C446" s="4" t="s">
        <v>13</v>
      </c>
      <c r="D446" s="15" t="s">
        <v>37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15</v>
      </c>
      <c r="L446" s="15" t="s">
        <v>15</v>
      </c>
      <c r="M446" s="15" t="s">
        <v>16</v>
      </c>
      <c r="N446" s="15">
        <v>380.04</v>
      </c>
      <c r="O446" s="27" t="s">
        <v>100</v>
      </c>
      <c r="P446" s="17" t="s">
        <v>65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489</v>
      </c>
      <c r="B447" s="9" t="s">
        <v>576</v>
      </c>
      <c r="C447" s="9" t="s">
        <v>576</v>
      </c>
      <c r="D447" s="10" t="s">
        <v>25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20</v>
      </c>
      <c r="M447" s="10" t="s">
        <v>16</v>
      </c>
      <c r="N447" s="10">
        <v>537.94000000000005</v>
      </c>
      <c r="O447" s="27" t="s">
        <v>41</v>
      </c>
      <c r="P447" s="12" t="s">
        <v>68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490</v>
      </c>
      <c r="B448" s="14" t="s">
        <v>24</v>
      </c>
      <c r="C448" s="14" t="s">
        <v>24</v>
      </c>
      <c r="D448" s="15" t="s">
        <v>37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20</v>
      </c>
      <c r="M448" s="15" t="s">
        <v>16</v>
      </c>
      <c r="N448" s="15">
        <v>426.36</v>
      </c>
      <c r="O448" s="27" t="s">
        <v>100</v>
      </c>
      <c r="P448" s="17" t="s">
        <v>65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491</v>
      </c>
      <c r="B449" s="9" t="s">
        <v>29</v>
      </c>
      <c r="C449" s="9" t="s">
        <v>29</v>
      </c>
      <c r="D449" s="10" t="s">
        <v>37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20</v>
      </c>
      <c r="M449" s="10" t="s">
        <v>26</v>
      </c>
      <c r="N449" s="10">
        <v>446.02</v>
      </c>
      <c r="O449" s="27" t="s">
        <v>79</v>
      </c>
      <c r="P449" s="12" t="s">
        <v>22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492</v>
      </c>
      <c r="B450" s="14" t="s">
        <v>13</v>
      </c>
      <c r="C450" s="4" t="s">
        <v>13</v>
      </c>
      <c r="D450" s="15" t="s">
        <v>14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15</v>
      </c>
      <c r="L450" s="15" t="s">
        <v>15</v>
      </c>
      <c r="M450" s="15" t="s">
        <v>21</v>
      </c>
      <c r="N450" s="15">
        <v>387.87</v>
      </c>
      <c r="O450" s="27" t="s">
        <v>35</v>
      </c>
      <c r="P450" s="17" t="s">
        <v>35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493</v>
      </c>
      <c r="B451" s="9" t="s">
        <v>576</v>
      </c>
      <c r="C451" s="9" t="s">
        <v>576</v>
      </c>
      <c r="D451" s="10" t="s">
        <v>25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20</v>
      </c>
      <c r="M451" s="10" t="s">
        <v>21</v>
      </c>
      <c r="N451" s="10">
        <v>77.650000000000006</v>
      </c>
      <c r="O451" s="27" t="s">
        <v>35</v>
      </c>
      <c r="P451" s="12" t="s">
        <v>30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494</v>
      </c>
      <c r="B452" s="14" t="s">
        <v>24</v>
      </c>
      <c r="C452" s="14" t="s">
        <v>24</v>
      </c>
      <c r="D452" s="15" t="s">
        <v>19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20</v>
      </c>
      <c r="M452" s="15" t="s">
        <v>26</v>
      </c>
      <c r="N452" s="15">
        <v>428.31</v>
      </c>
      <c r="O452" s="27" t="s">
        <v>27</v>
      </c>
      <c r="P452" s="17" t="s">
        <v>48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495</v>
      </c>
      <c r="B453" s="9" t="s">
        <v>29</v>
      </c>
      <c r="C453" s="9" t="s">
        <v>29</v>
      </c>
      <c r="D453" s="10" t="s">
        <v>14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15</v>
      </c>
      <c r="L453" s="10" t="s">
        <v>15</v>
      </c>
      <c r="M453" s="10" t="s">
        <v>21</v>
      </c>
      <c r="N453" s="10">
        <v>79.13</v>
      </c>
      <c r="O453" s="27" t="s">
        <v>100</v>
      </c>
      <c r="P453" s="12" t="s">
        <v>63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496</v>
      </c>
      <c r="B454" s="14" t="s">
        <v>13</v>
      </c>
      <c r="C454" s="4" t="s">
        <v>13</v>
      </c>
      <c r="D454" s="15" t="s">
        <v>19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15</v>
      </c>
      <c r="L454" s="15" t="s">
        <v>15</v>
      </c>
      <c r="M454" s="15" t="s">
        <v>26</v>
      </c>
      <c r="N454" s="15">
        <v>115.42</v>
      </c>
      <c r="O454" s="27" t="s">
        <v>17</v>
      </c>
      <c r="P454" s="17" t="s">
        <v>95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497</v>
      </c>
      <c r="B455" s="9" t="s">
        <v>576</v>
      </c>
      <c r="C455" s="9" t="s">
        <v>576</v>
      </c>
      <c r="D455" s="10" t="s">
        <v>34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32</v>
      </c>
      <c r="M455" s="10" t="s">
        <v>21</v>
      </c>
      <c r="N455" s="10">
        <v>150.09</v>
      </c>
      <c r="O455" s="27" t="s">
        <v>17</v>
      </c>
      <c r="P455" s="12" t="s">
        <v>52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498</v>
      </c>
      <c r="B456" s="14" t="s">
        <v>24</v>
      </c>
      <c r="C456" s="14" t="s">
        <v>24</v>
      </c>
      <c r="D456" s="15" t="s">
        <v>37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32</v>
      </c>
      <c r="M456" s="15" t="s">
        <v>26</v>
      </c>
      <c r="N456" s="15">
        <v>387.72</v>
      </c>
      <c r="O456" s="27" t="s">
        <v>41</v>
      </c>
      <c r="P456" s="17" t="s">
        <v>41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499</v>
      </c>
      <c r="B457" s="9" t="s">
        <v>29</v>
      </c>
      <c r="C457" s="9" t="s">
        <v>29</v>
      </c>
      <c r="D457" s="10" t="s">
        <v>34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32</v>
      </c>
      <c r="M457" s="10" t="s">
        <v>16</v>
      </c>
      <c r="N457" s="10">
        <v>482.71</v>
      </c>
      <c r="O457" s="27" t="s">
        <v>35</v>
      </c>
      <c r="P457" s="12" t="s">
        <v>35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500</v>
      </c>
      <c r="B458" s="14" t="s">
        <v>13</v>
      </c>
      <c r="C458" s="4" t="s">
        <v>13</v>
      </c>
      <c r="D458" s="15" t="s">
        <v>37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20</v>
      </c>
      <c r="M458" s="15" t="s">
        <v>21</v>
      </c>
      <c r="N458" s="15">
        <v>1074.45</v>
      </c>
      <c r="O458" s="27" t="s">
        <v>100</v>
      </c>
      <c r="P458" s="17" t="s">
        <v>100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501</v>
      </c>
      <c r="B459" s="9" t="s">
        <v>576</v>
      </c>
      <c r="C459" s="9" t="s">
        <v>576</v>
      </c>
      <c r="D459" s="10" t="s">
        <v>14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15</v>
      </c>
      <c r="L459" s="10" t="s">
        <v>15</v>
      </c>
      <c r="M459" s="10" t="s">
        <v>21</v>
      </c>
      <c r="N459" s="10">
        <v>659.46</v>
      </c>
      <c r="O459" s="27" t="s">
        <v>17</v>
      </c>
      <c r="P459" s="12" t="s">
        <v>17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502</v>
      </c>
      <c r="B460" s="14" t="s">
        <v>24</v>
      </c>
      <c r="C460" s="14" t="s">
        <v>24</v>
      </c>
      <c r="D460" s="15" t="s">
        <v>19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32</v>
      </c>
      <c r="M460" s="15" t="s">
        <v>16</v>
      </c>
      <c r="N460" s="15">
        <v>857.48</v>
      </c>
      <c r="O460" s="27" t="s">
        <v>79</v>
      </c>
      <c r="P460" s="17" t="s">
        <v>55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503</v>
      </c>
      <c r="B461" s="9" t="s">
        <v>29</v>
      </c>
      <c r="C461" s="9" t="s">
        <v>29</v>
      </c>
      <c r="D461" s="10" t="s">
        <v>19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32</v>
      </c>
      <c r="M461" s="10" t="s">
        <v>21</v>
      </c>
      <c r="N461" s="10">
        <v>68.510000000000005</v>
      </c>
      <c r="O461" s="27" t="s">
        <v>100</v>
      </c>
      <c r="P461" s="12" t="s">
        <v>65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504</v>
      </c>
      <c r="B462" s="14" t="s">
        <v>13</v>
      </c>
      <c r="C462" s="4" t="s">
        <v>13</v>
      </c>
      <c r="D462" s="15" t="s">
        <v>14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15</v>
      </c>
      <c r="L462" s="15" t="s">
        <v>15</v>
      </c>
      <c r="M462" s="15" t="s">
        <v>26</v>
      </c>
      <c r="N462" s="15">
        <v>614.4</v>
      </c>
      <c r="O462" s="27" t="s">
        <v>17</v>
      </c>
      <c r="P462" s="17" t="s">
        <v>52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505</v>
      </c>
      <c r="B463" s="9" t="s">
        <v>576</v>
      </c>
      <c r="C463" s="9" t="s">
        <v>576</v>
      </c>
      <c r="D463" s="10" t="s">
        <v>25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20</v>
      </c>
      <c r="M463" s="10" t="s">
        <v>26</v>
      </c>
      <c r="N463" s="10">
        <v>492.8</v>
      </c>
      <c r="O463" s="27" t="s">
        <v>41</v>
      </c>
      <c r="P463" s="12" t="s">
        <v>68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506</v>
      </c>
      <c r="B464" s="14" t="s">
        <v>24</v>
      </c>
      <c r="C464" s="14" t="s">
        <v>24</v>
      </c>
      <c r="D464" s="15" t="s">
        <v>34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15</v>
      </c>
      <c r="L464" s="15" t="s">
        <v>15</v>
      </c>
      <c r="M464" s="15" t="s">
        <v>16</v>
      </c>
      <c r="N464" s="15">
        <v>145.88999999999999</v>
      </c>
      <c r="O464" s="27" t="s">
        <v>17</v>
      </c>
      <c r="P464" s="17" t="s">
        <v>52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507</v>
      </c>
      <c r="B465" s="9" t="s">
        <v>29</v>
      </c>
      <c r="C465" s="9" t="s">
        <v>29</v>
      </c>
      <c r="D465" s="10" t="s">
        <v>34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15</v>
      </c>
      <c r="L465" s="10" t="s">
        <v>15</v>
      </c>
      <c r="M465" s="10" t="s">
        <v>21</v>
      </c>
      <c r="N465" s="10">
        <v>668.21</v>
      </c>
      <c r="O465" s="27" t="s">
        <v>27</v>
      </c>
      <c r="P465" s="12" t="s">
        <v>27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508</v>
      </c>
      <c r="B466" s="14" t="s">
        <v>13</v>
      </c>
      <c r="C466" s="4" t="s">
        <v>13</v>
      </c>
      <c r="D466" s="15" t="s">
        <v>19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15</v>
      </c>
      <c r="L466" s="15" t="s">
        <v>15</v>
      </c>
      <c r="M466" s="15" t="s">
        <v>26</v>
      </c>
      <c r="N466" s="15">
        <v>551.62</v>
      </c>
      <c r="O466" s="27" t="s">
        <v>100</v>
      </c>
      <c r="P466" s="17" t="s">
        <v>100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509</v>
      </c>
      <c r="B467" s="9" t="s">
        <v>576</v>
      </c>
      <c r="C467" s="9" t="s">
        <v>576</v>
      </c>
      <c r="D467" s="10" t="s">
        <v>19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20</v>
      </c>
      <c r="M467" s="10" t="s">
        <v>16</v>
      </c>
      <c r="N467" s="10">
        <v>791.13</v>
      </c>
      <c r="O467" s="27" t="s">
        <v>79</v>
      </c>
      <c r="P467" s="12" t="s">
        <v>55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510</v>
      </c>
      <c r="B468" s="14" t="s">
        <v>24</v>
      </c>
      <c r="C468" s="14" t="s">
        <v>24</v>
      </c>
      <c r="D468" s="15" t="s">
        <v>19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32</v>
      </c>
      <c r="M468" s="15" t="s">
        <v>21</v>
      </c>
      <c r="N468" s="15">
        <v>668.11</v>
      </c>
      <c r="O468" s="27" t="s">
        <v>100</v>
      </c>
      <c r="P468" s="17" t="s">
        <v>65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511</v>
      </c>
      <c r="B469" s="9" t="s">
        <v>29</v>
      </c>
      <c r="C469" s="9" t="s">
        <v>29</v>
      </c>
      <c r="D469" s="10" t="s">
        <v>14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32</v>
      </c>
      <c r="M469" s="10" t="s">
        <v>26</v>
      </c>
      <c r="N469" s="10">
        <v>1246.55</v>
      </c>
      <c r="O469" s="27" t="s">
        <v>79</v>
      </c>
      <c r="P469" s="12" t="s">
        <v>55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512</v>
      </c>
      <c r="B470" s="14" t="s">
        <v>13</v>
      </c>
      <c r="C470" s="4" t="s">
        <v>13</v>
      </c>
      <c r="D470" s="15" t="s">
        <v>25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20</v>
      </c>
      <c r="M470" s="15" t="s">
        <v>21</v>
      </c>
      <c r="N470" s="15">
        <v>36.9</v>
      </c>
      <c r="O470" s="27" t="s">
        <v>41</v>
      </c>
      <c r="P470" s="17" t="s">
        <v>44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513</v>
      </c>
      <c r="B471" s="9" t="s">
        <v>576</v>
      </c>
      <c r="C471" s="9" t="s">
        <v>576</v>
      </c>
      <c r="D471" s="10" t="s">
        <v>34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15</v>
      </c>
      <c r="L471" s="10" t="s">
        <v>15</v>
      </c>
      <c r="M471" s="10" t="s">
        <v>21</v>
      </c>
      <c r="N471" s="10">
        <v>53.78</v>
      </c>
      <c r="O471" s="27" t="s">
        <v>27</v>
      </c>
      <c r="P471" s="12" t="s">
        <v>27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514</v>
      </c>
      <c r="B472" s="14" t="s">
        <v>24</v>
      </c>
      <c r="C472" s="14" t="s">
        <v>24</v>
      </c>
      <c r="D472" s="15" t="s">
        <v>37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15</v>
      </c>
      <c r="L472" s="15" t="s">
        <v>15</v>
      </c>
      <c r="M472" s="15" t="s">
        <v>26</v>
      </c>
      <c r="N472" s="15">
        <v>397.26</v>
      </c>
      <c r="O472" s="27" t="s">
        <v>100</v>
      </c>
      <c r="P472" s="17" t="s">
        <v>100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515</v>
      </c>
      <c r="B473" s="9" t="s">
        <v>29</v>
      </c>
      <c r="C473" s="9" t="s">
        <v>29</v>
      </c>
      <c r="D473" s="10" t="s">
        <v>14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32</v>
      </c>
      <c r="M473" s="10" t="s">
        <v>21</v>
      </c>
      <c r="N473" s="10">
        <v>109.12</v>
      </c>
      <c r="O473" s="27" t="s">
        <v>41</v>
      </c>
      <c r="P473" s="12" t="s">
        <v>41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516</v>
      </c>
      <c r="B474" s="14" t="s">
        <v>13</v>
      </c>
      <c r="C474" s="4" t="s">
        <v>13</v>
      </c>
      <c r="D474" s="15" t="s">
        <v>34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32</v>
      </c>
      <c r="M474" s="15" t="s">
        <v>26</v>
      </c>
      <c r="N474" s="15">
        <v>545.08000000000004</v>
      </c>
      <c r="O474" s="27" t="s">
        <v>79</v>
      </c>
      <c r="P474" s="17" t="s">
        <v>55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517</v>
      </c>
      <c r="B475" s="9" t="s">
        <v>576</v>
      </c>
      <c r="C475" s="9" t="s">
        <v>576</v>
      </c>
      <c r="D475" s="10" t="s">
        <v>25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15</v>
      </c>
      <c r="L475" s="10" t="s">
        <v>15</v>
      </c>
      <c r="M475" s="10" t="s">
        <v>26</v>
      </c>
      <c r="N475" s="10">
        <v>512.98</v>
      </c>
      <c r="O475" s="27" t="s">
        <v>35</v>
      </c>
      <c r="P475" s="12" t="s">
        <v>58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518</v>
      </c>
      <c r="B476" s="14" t="s">
        <v>24</v>
      </c>
      <c r="C476" s="14" t="s">
        <v>24</v>
      </c>
      <c r="D476" s="15" t="s">
        <v>14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20</v>
      </c>
      <c r="M476" s="15" t="s">
        <v>26</v>
      </c>
      <c r="N476" s="15">
        <v>921.96</v>
      </c>
      <c r="O476" s="27" t="s">
        <v>17</v>
      </c>
      <c r="P476" s="17" t="s">
        <v>17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519</v>
      </c>
      <c r="B477" s="9" t="s">
        <v>29</v>
      </c>
      <c r="C477" s="9" t="s">
        <v>29</v>
      </c>
      <c r="D477" s="10" t="s">
        <v>34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32</v>
      </c>
      <c r="M477" s="10" t="s">
        <v>16</v>
      </c>
      <c r="N477" s="10">
        <v>191.82</v>
      </c>
      <c r="O477" s="27" t="s">
        <v>100</v>
      </c>
      <c r="P477" s="12" t="s">
        <v>65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520</v>
      </c>
      <c r="B478" s="14" t="s">
        <v>13</v>
      </c>
      <c r="C478" s="4" t="s">
        <v>13</v>
      </c>
      <c r="D478" s="15" t="s">
        <v>14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20</v>
      </c>
      <c r="M478" s="15" t="s">
        <v>16</v>
      </c>
      <c r="N478" s="15">
        <v>57.92</v>
      </c>
      <c r="O478" s="27" t="s">
        <v>27</v>
      </c>
      <c r="P478" s="17" t="s">
        <v>27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521</v>
      </c>
      <c r="B479" s="9" t="s">
        <v>576</v>
      </c>
      <c r="C479" s="9" t="s">
        <v>576</v>
      </c>
      <c r="D479" s="10" t="s">
        <v>34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20</v>
      </c>
      <c r="M479" s="10" t="s">
        <v>21</v>
      </c>
      <c r="N479" s="10">
        <v>523.78</v>
      </c>
      <c r="O479" s="27" t="s">
        <v>41</v>
      </c>
      <c r="P479" s="12" t="s">
        <v>44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522</v>
      </c>
      <c r="B480" s="14" t="s">
        <v>24</v>
      </c>
      <c r="C480" s="14" t="s">
        <v>24</v>
      </c>
      <c r="D480" s="15" t="s">
        <v>34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15</v>
      </c>
      <c r="L480" s="15" t="s">
        <v>15</v>
      </c>
      <c r="M480" s="15" t="s">
        <v>26</v>
      </c>
      <c r="N480" s="15">
        <v>485.96</v>
      </c>
      <c r="O480" s="27" t="s">
        <v>41</v>
      </c>
      <c r="P480" s="17" t="s">
        <v>68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523</v>
      </c>
      <c r="B481" s="9" t="s">
        <v>29</v>
      </c>
      <c r="C481" s="9" t="s">
        <v>29</v>
      </c>
      <c r="D481" s="10" t="s">
        <v>25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20</v>
      </c>
      <c r="M481" s="10" t="s">
        <v>26</v>
      </c>
      <c r="N481" s="10">
        <v>149.71</v>
      </c>
      <c r="O481" s="27" t="s">
        <v>100</v>
      </c>
      <c r="P481" s="12" t="s">
        <v>100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524</v>
      </c>
      <c r="B482" s="14" t="s">
        <v>13</v>
      </c>
      <c r="C482" s="4" t="s">
        <v>13</v>
      </c>
      <c r="D482" s="15" t="s">
        <v>37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15</v>
      </c>
      <c r="L482" s="15" t="s">
        <v>15</v>
      </c>
      <c r="M482" s="15" t="s">
        <v>26</v>
      </c>
      <c r="N482" s="15">
        <v>226.6</v>
      </c>
      <c r="O482" s="27" t="s">
        <v>100</v>
      </c>
      <c r="P482" s="17" t="s">
        <v>63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525</v>
      </c>
      <c r="B483" s="9" t="s">
        <v>576</v>
      </c>
      <c r="C483" s="9" t="s">
        <v>576</v>
      </c>
      <c r="D483" s="10" t="s">
        <v>25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20</v>
      </c>
      <c r="M483" s="10" t="s">
        <v>16</v>
      </c>
      <c r="N483" s="10">
        <v>778.64</v>
      </c>
      <c r="O483" s="27" t="s">
        <v>35</v>
      </c>
      <c r="P483" s="12" t="s">
        <v>58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526</v>
      </c>
      <c r="B484" s="14" t="s">
        <v>24</v>
      </c>
      <c r="C484" s="14" t="s">
        <v>24</v>
      </c>
      <c r="D484" s="15" t="s">
        <v>34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32</v>
      </c>
      <c r="M484" s="15" t="s">
        <v>26</v>
      </c>
      <c r="N484" s="15">
        <v>336.04</v>
      </c>
      <c r="O484" s="27" t="s">
        <v>100</v>
      </c>
      <c r="P484" s="17" t="s">
        <v>65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527</v>
      </c>
      <c r="B485" s="9" t="s">
        <v>29</v>
      </c>
      <c r="C485" s="9" t="s">
        <v>29</v>
      </c>
      <c r="D485" s="10" t="s">
        <v>14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15</v>
      </c>
      <c r="L485" s="10" t="s">
        <v>15</v>
      </c>
      <c r="M485" s="10" t="s">
        <v>21</v>
      </c>
      <c r="N485" s="10">
        <v>74.44</v>
      </c>
      <c r="O485" s="27" t="s">
        <v>17</v>
      </c>
      <c r="P485" s="12" t="s">
        <v>95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528</v>
      </c>
      <c r="B486" s="14" t="s">
        <v>13</v>
      </c>
      <c r="C486" s="4" t="s">
        <v>13</v>
      </c>
      <c r="D486" s="15" t="s">
        <v>25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15</v>
      </c>
      <c r="L486" s="15" t="s">
        <v>15</v>
      </c>
      <c r="M486" s="15" t="s">
        <v>21</v>
      </c>
      <c r="N486" s="15">
        <v>317.56</v>
      </c>
      <c r="O486" s="27" t="s">
        <v>100</v>
      </c>
      <c r="P486" s="17" t="s">
        <v>63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529</v>
      </c>
      <c r="B487" s="9" t="s">
        <v>576</v>
      </c>
      <c r="C487" s="9" t="s">
        <v>576</v>
      </c>
      <c r="D487" s="10" t="s">
        <v>37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15</v>
      </c>
      <c r="L487" s="10" t="s">
        <v>15</v>
      </c>
      <c r="M487" s="10" t="s">
        <v>26</v>
      </c>
      <c r="N487" s="10">
        <v>731.64</v>
      </c>
      <c r="O487" s="27" t="s">
        <v>100</v>
      </c>
      <c r="P487" s="12" t="s">
        <v>100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530</v>
      </c>
      <c r="B488" s="14" t="s">
        <v>24</v>
      </c>
      <c r="C488" s="14" t="s">
        <v>24</v>
      </c>
      <c r="D488" s="15" t="s">
        <v>34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15</v>
      </c>
      <c r="L488" s="15" t="s">
        <v>15</v>
      </c>
      <c r="M488" s="15" t="s">
        <v>21</v>
      </c>
      <c r="N488" s="15">
        <v>344.48</v>
      </c>
      <c r="O488" s="27" t="s">
        <v>27</v>
      </c>
      <c r="P488" s="17" t="s">
        <v>27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531</v>
      </c>
      <c r="B489" s="9" t="s">
        <v>29</v>
      </c>
      <c r="C489" s="9" t="s">
        <v>29</v>
      </c>
      <c r="D489" s="10" t="s">
        <v>25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32</v>
      </c>
      <c r="M489" s="10" t="s">
        <v>21</v>
      </c>
      <c r="N489" s="10">
        <v>270.99</v>
      </c>
      <c r="O489" s="27" t="s">
        <v>35</v>
      </c>
      <c r="P489" s="12" t="s">
        <v>30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532</v>
      </c>
      <c r="B490" s="14" t="s">
        <v>13</v>
      </c>
      <c r="C490" s="4" t="s">
        <v>13</v>
      </c>
      <c r="D490" s="15" t="s">
        <v>25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15</v>
      </c>
      <c r="L490" s="15" t="s">
        <v>15</v>
      </c>
      <c r="M490" s="15" t="s">
        <v>21</v>
      </c>
      <c r="N490" s="15">
        <v>1091.53</v>
      </c>
      <c r="O490" s="27" t="s">
        <v>27</v>
      </c>
      <c r="P490" s="17" t="s">
        <v>48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533</v>
      </c>
      <c r="B491" s="9" t="s">
        <v>576</v>
      </c>
      <c r="C491" s="9" t="s">
        <v>576</v>
      </c>
      <c r="D491" s="10" t="s">
        <v>25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15</v>
      </c>
      <c r="L491" s="10" t="s">
        <v>15</v>
      </c>
      <c r="M491" s="10" t="s">
        <v>26</v>
      </c>
      <c r="N491" s="10">
        <v>264.99</v>
      </c>
      <c r="O491" s="27" t="s">
        <v>79</v>
      </c>
      <c r="P491" s="12" t="s">
        <v>79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534</v>
      </c>
      <c r="B492" s="14" t="s">
        <v>24</v>
      </c>
      <c r="C492" s="14" t="s">
        <v>24</v>
      </c>
      <c r="D492" s="15" t="s">
        <v>25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32</v>
      </c>
      <c r="M492" s="15" t="s">
        <v>26</v>
      </c>
      <c r="N492" s="15">
        <v>1058.17</v>
      </c>
      <c r="O492" s="27" t="s">
        <v>35</v>
      </c>
      <c r="P492" s="17" t="s">
        <v>30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535</v>
      </c>
      <c r="B493" s="9" t="s">
        <v>29</v>
      </c>
      <c r="C493" s="9" t="s">
        <v>29</v>
      </c>
      <c r="D493" s="10" t="s">
        <v>14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20</v>
      </c>
      <c r="M493" s="10" t="s">
        <v>26</v>
      </c>
      <c r="N493" s="10">
        <v>99.89</v>
      </c>
      <c r="O493" s="27" t="s">
        <v>41</v>
      </c>
      <c r="P493" s="12" t="s">
        <v>44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536</v>
      </c>
      <c r="B494" s="14" t="s">
        <v>13</v>
      </c>
      <c r="C494" s="4" t="s">
        <v>13</v>
      </c>
      <c r="D494" s="15" t="s">
        <v>37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32</v>
      </c>
      <c r="M494" s="15" t="s">
        <v>26</v>
      </c>
      <c r="N494" s="15">
        <v>840.81</v>
      </c>
      <c r="O494" s="27" t="s">
        <v>27</v>
      </c>
      <c r="P494" s="17" t="s">
        <v>48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537</v>
      </c>
      <c r="B495" s="9" t="s">
        <v>576</v>
      </c>
      <c r="C495" s="9" t="s">
        <v>576</v>
      </c>
      <c r="D495" s="10" t="s">
        <v>37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20</v>
      </c>
      <c r="M495" s="10" t="s">
        <v>21</v>
      </c>
      <c r="N495" s="10">
        <v>764.68</v>
      </c>
      <c r="O495" s="27" t="s">
        <v>17</v>
      </c>
      <c r="P495" s="12" t="s">
        <v>17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538</v>
      </c>
      <c r="B496" s="14" t="s">
        <v>24</v>
      </c>
      <c r="C496" s="14" t="s">
        <v>24</v>
      </c>
      <c r="D496" s="15" t="s">
        <v>34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15</v>
      </c>
      <c r="L496" s="15" t="s">
        <v>15</v>
      </c>
      <c r="M496" s="15" t="s">
        <v>26</v>
      </c>
      <c r="N496" s="15">
        <v>460.15</v>
      </c>
      <c r="O496" s="27" t="s">
        <v>79</v>
      </c>
      <c r="P496" s="17" t="s">
        <v>22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539</v>
      </c>
      <c r="B497" s="9" t="s">
        <v>29</v>
      </c>
      <c r="C497" s="9" t="s">
        <v>29</v>
      </c>
      <c r="D497" s="10" t="s">
        <v>19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15</v>
      </c>
      <c r="L497" s="10" t="s">
        <v>15</v>
      </c>
      <c r="M497" s="10" t="s">
        <v>16</v>
      </c>
      <c r="N497" s="10">
        <v>220.52</v>
      </c>
      <c r="O497" s="27" t="s">
        <v>79</v>
      </c>
      <c r="P497" s="12" t="s">
        <v>22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540</v>
      </c>
      <c r="B498" s="14" t="s">
        <v>13</v>
      </c>
      <c r="C498" s="4" t="s">
        <v>13</v>
      </c>
      <c r="D498" s="15" t="s">
        <v>14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20</v>
      </c>
      <c r="M498" s="15" t="s">
        <v>16</v>
      </c>
      <c r="N498" s="15">
        <v>80.92</v>
      </c>
      <c r="O498" s="27" t="s">
        <v>17</v>
      </c>
      <c r="P498" s="17" t="s">
        <v>95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541</v>
      </c>
      <c r="B499" s="9" t="s">
        <v>576</v>
      </c>
      <c r="C499" s="9" t="s">
        <v>576</v>
      </c>
      <c r="D499" s="10" t="s">
        <v>34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15</v>
      </c>
      <c r="L499" s="10" t="s">
        <v>15</v>
      </c>
      <c r="M499" s="10" t="s">
        <v>16</v>
      </c>
      <c r="N499" s="10">
        <v>343.75</v>
      </c>
      <c r="O499" s="27" t="s">
        <v>17</v>
      </c>
      <c r="P499" s="12" t="s">
        <v>95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7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07" zoomScaleNormal="107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545</v>
      </c>
      <c r="B1" s="30" t="s">
        <v>546</v>
      </c>
      <c r="C1" s="30" t="s">
        <v>547</v>
      </c>
      <c r="D1" s="30" t="s">
        <v>560</v>
      </c>
      <c r="E1" s="30" t="s">
        <v>565</v>
      </c>
      <c r="F1" s="30" t="s">
        <v>570</v>
      </c>
      <c r="G1" s="30" t="s">
        <v>575</v>
      </c>
    </row>
    <row r="2" spans="1:7" x14ac:dyDescent="0.3">
      <c r="A2" t="s">
        <v>548</v>
      </c>
      <c r="B2" t="s">
        <v>549</v>
      </c>
      <c r="C2" t="s">
        <v>550</v>
      </c>
      <c r="D2" s="29" t="s">
        <v>561</v>
      </c>
      <c r="E2" t="s">
        <v>566</v>
      </c>
      <c r="F2" t="s">
        <v>571</v>
      </c>
      <c r="G2">
        <v>88274225</v>
      </c>
    </row>
    <row r="3" spans="1:7" x14ac:dyDescent="0.3">
      <c r="A3" t="s">
        <v>551</v>
      </c>
      <c r="B3" t="s">
        <v>552</v>
      </c>
      <c r="C3" t="s">
        <v>553</v>
      </c>
      <c r="D3" s="29" t="s">
        <v>562</v>
      </c>
      <c r="E3" t="s">
        <v>567</v>
      </c>
      <c r="F3" t="s">
        <v>572</v>
      </c>
      <c r="G3">
        <v>94562368</v>
      </c>
    </row>
    <row r="4" spans="1:7" x14ac:dyDescent="0.3">
      <c r="A4" t="s">
        <v>554</v>
      </c>
      <c r="B4" t="s">
        <v>555</v>
      </c>
      <c r="C4" t="s">
        <v>558</v>
      </c>
      <c r="D4" s="29" t="s">
        <v>563</v>
      </c>
      <c r="E4" t="s">
        <v>568</v>
      </c>
      <c r="F4" t="s">
        <v>573</v>
      </c>
      <c r="G4">
        <v>25451474</v>
      </c>
    </row>
    <row r="5" spans="1:7" x14ac:dyDescent="0.3">
      <c r="A5" t="s">
        <v>556</v>
      </c>
      <c r="B5" t="s">
        <v>557</v>
      </c>
      <c r="C5" t="s">
        <v>559</v>
      </c>
      <c r="D5" s="29" t="s">
        <v>564</v>
      </c>
      <c r="E5" t="s">
        <v>569</v>
      </c>
      <c r="F5" t="s">
        <v>574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zoomScale="102" zoomScaleNormal="102"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545</v>
      </c>
      <c r="F7" s="35" t="s">
        <v>546</v>
      </c>
      <c r="G7" s="35" t="s">
        <v>547</v>
      </c>
      <c r="H7" s="35" t="s">
        <v>560</v>
      </c>
      <c r="I7" s="35" t="s">
        <v>565</v>
      </c>
      <c r="J7" s="35" t="s">
        <v>570</v>
      </c>
      <c r="K7" s="35" t="s">
        <v>575</v>
      </c>
      <c r="L7" s="35" t="s">
        <v>582</v>
      </c>
      <c r="M7" s="35" t="s">
        <v>583</v>
      </c>
    </row>
    <row r="8" spans="5:13" x14ac:dyDescent="0.3">
      <c r="E8" s="31" t="s">
        <v>548</v>
      </c>
      <c r="F8" s="31" t="s">
        <v>549</v>
      </c>
      <c r="G8" s="31" t="s">
        <v>550</v>
      </c>
      <c r="H8" s="33" t="s">
        <v>561</v>
      </c>
      <c r="I8" s="31" t="s">
        <v>566</v>
      </c>
      <c r="J8" s="31" t="s">
        <v>578</v>
      </c>
      <c r="K8" s="31">
        <v>8827427215</v>
      </c>
      <c r="L8">
        <v>882742</v>
      </c>
      <c r="M8">
        <v>882</v>
      </c>
    </row>
    <row r="9" spans="5:13" x14ac:dyDescent="0.3">
      <c r="E9" s="32" t="s">
        <v>551</v>
      </c>
      <c r="F9" s="32" t="s">
        <v>552</v>
      </c>
      <c r="G9" s="32" t="s">
        <v>553</v>
      </c>
      <c r="H9" s="34" t="s">
        <v>562</v>
      </c>
      <c r="I9" s="32" t="s">
        <v>567</v>
      </c>
      <c r="J9" s="32" t="s">
        <v>579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554</v>
      </c>
      <c r="F10" s="31" t="s">
        <v>555</v>
      </c>
      <c r="G10" s="31" t="s">
        <v>558</v>
      </c>
      <c r="H10" s="33" t="s">
        <v>563</v>
      </c>
      <c r="I10" s="31" t="s">
        <v>568</v>
      </c>
      <c r="J10" s="31" t="s">
        <v>580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556</v>
      </c>
      <c r="F11" s="36" t="s">
        <v>557</v>
      </c>
      <c r="G11" s="36" t="s">
        <v>559</v>
      </c>
      <c r="H11" s="37" t="s">
        <v>564</v>
      </c>
      <c r="I11" s="36" t="s">
        <v>569</v>
      </c>
      <c r="J11" s="36" t="s">
        <v>581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33"/>
  <sheetViews>
    <sheetView topLeftCell="C10" zoomScale="102" zoomScaleNormal="102" workbookViewId="0">
      <selection activeCell="H18" sqref="H18:J23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2" width="27" bestFit="1" customWidth="1"/>
    <col min="13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584</v>
      </c>
      <c r="I8" s="45" t="s">
        <v>589</v>
      </c>
      <c r="J8" s="51" t="s">
        <v>590</v>
      </c>
      <c r="M8" s="40" t="s">
        <v>591</v>
      </c>
      <c r="N8" s="40" t="s">
        <v>595</v>
      </c>
    </row>
    <row r="9" spans="8:14" ht="18" x14ac:dyDescent="0.3">
      <c r="H9" s="42" t="s">
        <v>585</v>
      </c>
      <c r="I9" s="38">
        <v>75</v>
      </c>
      <c r="J9" s="50" t="str">
        <f>IF(I9&gt;=90,"A++",IF(I9&gt;75,"A+",IF(I9&gt;60,"A",IF(I9&gt;40,"B","Fail"))))</f>
        <v>A</v>
      </c>
      <c r="M9" s="40" t="s">
        <v>592</v>
      </c>
      <c r="N9" s="40" t="s">
        <v>596</v>
      </c>
    </row>
    <row r="10" spans="8:14" ht="18" x14ac:dyDescent="0.3">
      <c r="H10" s="42" t="s">
        <v>586</v>
      </c>
      <c r="I10" s="38">
        <v>78</v>
      </c>
      <c r="J10" s="50" t="str">
        <f>IF(I10&gt;=90,"A++",IF(I10&gt;75,"A+",IF(I10&gt;60,"A",IF(I10&gt;40,"B","Fail"))))</f>
        <v>A+</v>
      </c>
      <c r="M10" s="40" t="s">
        <v>593</v>
      </c>
      <c r="N10" s="40" t="s">
        <v>597</v>
      </c>
    </row>
    <row r="11" spans="8:14" ht="18" x14ac:dyDescent="0.3">
      <c r="H11" s="42" t="s">
        <v>587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594</v>
      </c>
      <c r="N11" s="40" t="s">
        <v>598</v>
      </c>
    </row>
    <row r="12" spans="8:14" ht="18" x14ac:dyDescent="0.3">
      <c r="H12" s="42" t="s">
        <v>588</v>
      </c>
      <c r="I12" s="38">
        <v>45</v>
      </c>
      <c r="J12" s="50" t="str">
        <f t="shared" si="0"/>
        <v>B</v>
      </c>
      <c r="M12" s="39" t="s">
        <v>600</v>
      </c>
      <c r="N12" s="39" t="s">
        <v>601</v>
      </c>
    </row>
    <row r="13" spans="8:14" ht="18" x14ac:dyDescent="0.3">
      <c r="H13" s="47" t="s">
        <v>599</v>
      </c>
      <c r="I13" s="52">
        <v>30</v>
      </c>
      <c r="J13" s="53" t="str">
        <f t="shared" si="0"/>
        <v>Fail</v>
      </c>
    </row>
    <row r="17" spans="8:18" x14ac:dyDescent="0.3">
      <c r="P17" s="67" t="s">
        <v>607</v>
      </c>
      <c r="Q17" s="68" t="s">
        <v>608</v>
      </c>
      <c r="R17" s="69" t="s">
        <v>609</v>
      </c>
    </row>
    <row r="18" spans="8:18" ht="18" x14ac:dyDescent="0.35">
      <c r="H18" s="44" t="s">
        <v>584</v>
      </c>
      <c r="I18" s="45" t="s">
        <v>602</v>
      </c>
      <c r="J18" s="46" t="s">
        <v>603</v>
      </c>
      <c r="L18" s="59" t="s">
        <v>604</v>
      </c>
      <c r="M18" s="59" t="s">
        <v>603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585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586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587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588</v>
      </c>
      <c r="I22" s="41">
        <v>75000</v>
      </c>
      <c r="J22" s="43">
        <f>IF(I22&gt;$L$19,(I22*15%),IF(I22&gt;$L$20,(I22*10%),IF(I22&gt;$L$21,(I22*5%))))</f>
        <v>7500</v>
      </c>
      <c r="L22" s="59" t="s">
        <v>605</v>
      </c>
      <c r="M22" s="59" t="s">
        <v>606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599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612</v>
      </c>
      <c r="I25" s="61">
        <f>SUMIF(Table4[Salary],"&gt;50000",Table4[Salary])</f>
        <v>200000</v>
      </c>
    </row>
    <row r="28" spans="8:18" ht="15" thickBot="1" x14ac:dyDescent="0.35"/>
    <row r="29" spans="8:18" ht="15" thickBot="1" x14ac:dyDescent="0.35">
      <c r="H29" s="117" t="s">
        <v>673</v>
      </c>
      <c r="I29" s="118" t="s">
        <v>663</v>
      </c>
      <c r="J29" s="119" t="s">
        <v>664</v>
      </c>
    </row>
    <row r="30" spans="8:18" ht="15" thickBot="1" x14ac:dyDescent="0.35">
      <c r="H30" s="120" t="s">
        <v>665</v>
      </c>
      <c r="I30" s="121" t="s">
        <v>668</v>
      </c>
      <c r="J30" s="122">
        <v>1001</v>
      </c>
      <c r="L30" s="115" t="s">
        <v>672</v>
      </c>
      <c r="M30" s="116">
        <f>COUNTIF(J30:J33,1001)</f>
        <v>2</v>
      </c>
    </row>
    <row r="31" spans="8:18" x14ac:dyDescent="0.3">
      <c r="H31" s="120" t="s">
        <v>617</v>
      </c>
      <c r="I31" s="121" t="s">
        <v>669</v>
      </c>
      <c r="J31" s="122">
        <v>1002</v>
      </c>
    </row>
    <row r="32" spans="8:18" x14ac:dyDescent="0.3">
      <c r="H32" s="120" t="s">
        <v>666</v>
      </c>
      <c r="I32" s="121" t="s">
        <v>670</v>
      </c>
      <c r="J32" s="122">
        <v>1001</v>
      </c>
    </row>
    <row r="33" spans="8:10" ht="15" thickBot="1" x14ac:dyDescent="0.35">
      <c r="H33" s="123" t="s">
        <v>667</v>
      </c>
      <c r="I33" s="124" t="s">
        <v>671</v>
      </c>
      <c r="J33" s="125">
        <v>1002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0B27-A011-45EC-B903-F7F36FAFED8F}">
  <dimension ref="C2:J18"/>
  <sheetViews>
    <sheetView tabSelected="1" zoomScale="99" zoomScaleNormal="99" workbookViewId="0">
      <selection activeCell="G22" sqref="G22"/>
    </sheetView>
  </sheetViews>
  <sheetFormatPr defaultRowHeight="14.4" x14ac:dyDescent="0.3"/>
  <cols>
    <col min="4" max="4" width="15.77734375" bestFit="1" customWidth="1"/>
    <col min="5" max="5" width="11.88671875" bestFit="1" customWidth="1"/>
    <col min="6" max="6" width="9.88671875" bestFit="1" customWidth="1"/>
    <col min="7" max="8" width="15.5546875" bestFit="1" customWidth="1"/>
  </cols>
  <sheetData>
    <row r="2" spans="3:10" x14ac:dyDescent="0.3">
      <c r="C2" s="30" t="s">
        <v>681</v>
      </c>
    </row>
    <row r="4" spans="3:10" ht="18" x14ac:dyDescent="0.35">
      <c r="C4" s="138" t="s">
        <v>679</v>
      </c>
      <c r="D4" s="44" t="s">
        <v>584</v>
      </c>
      <c r="E4" s="45" t="s">
        <v>602</v>
      </c>
      <c r="F4" s="46" t="s">
        <v>603</v>
      </c>
    </row>
    <row r="5" spans="3:10" ht="18.600000000000001" thickBot="1" x14ac:dyDescent="0.35">
      <c r="C5" s="139">
        <v>1001</v>
      </c>
      <c r="D5" s="42" t="s">
        <v>585</v>
      </c>
      <c r="E5" s="41">
        <v>70000</v>
      </c>
      <c r="F5" s="43">
        <f>IF(E5&gt;$L$19,(E5*15%),IF(E5&gt;$L$20,(E5*10%),IF(E5&gt;$L$21,(E5*5%))))</f>
        <v>10500</v>
      </c>
    </row>
    <row r="6" spans="3:10" ht="18" x14ac:dyDescent="0.3">
      <c r="C6" s="38">
        <v>1002</v>
      </c>
      <c r="D6" s="42" t="s">
        <v>586</v>
      </c>
      <c r="E6" s="41">
        <v>50000</v>
      </c>
      <c r="F6" s="43">
        <f>IF(E6&gt;$L$19,(E6*15%),IF(E6&gt;$L$20,(E6*10%),IF(E6&gt;$L$21,(E6*5%),"No Bonus")))</f>
        <v>7500</v>
      </c>
      <c r="H6" s="143" t="s">
        <v>684</v>
      </c>
      <c r="I6" s="133"/>
      <c r="J6" s="134"/>
    </row>
    <row r="7" spans="3:10" ht="18.600000000000001" thickBot="1" x14ac:dyDescent="0.35">
      <c r="C7" s="139">
        <v>1003</v>
      </c>
      <c r="D7" s="42" t="s">
        <v>587</v>
      </c>
      <c r="E7" s="41">
        <v>45000</v>
      </c>
      <c r="F7" s="43">
        <f>IF(E7&gt;$L$19,(E7*15%),IF(E7&gt;$L$20,(E7*10%),IF(E7&gt;$L$21,(E7*5%),"No Bonus")))</f>
        <v>6750</v>
      </c>
      <c r="H7" s="144" t="s">
        <v>680</v>
      </c>
      <c r="I7" s="140" t="s">
        <v>603</v>
      </c>
      <c r="J7" s="145" t="s">
        <v>617</v>
      </c>
    </row>
    <row r="8" spans="3:10" ht="18.600000000000001" thickBot="1" x14ac:dyDescent="0.35">
      <c r="C8" s="38">
        <v>1004</v>
      </c>
      <c r="D8" s="42" t="s">
        <v>588</v>
      </c>
      <c r="E8" s="41">
        <v>75000</v>
      </c>
      <c r="F8" s="43">
        <f>IF(E8&gt;$L$19,(E8*15%),IF(E8&gt;$L$20,(E8*10%),IF(E8&gt;$L$21,(E8*5%))))</f>
        <v>11250</v>
      </c>
      <c r="H8" s="141">
        <v>1003</v>
      </c>
      <c r="I8" s="142">
        <f>VLOOKUP(H8,C5:F9,MATCH(Table411[[#Headers],[Bonus]],C4:F4,0),FALSE)</f>
        <v>6750</v>
      </c>
      <c r="J8" s="142">
        <f>VLOOKUP(H8,C5:F9,MATCH(E8,C8:F8,0),FALSE)</f>
        <v>45000</v>
      </c>
    </row>
    <row r="9" spans="3:10" ht="18" x14ac:dyDescent="0.3">
      <c r="C9" s="139">
        <v>1005</v>
      </c>
      <c r="D9" s="47" t="s">
        <v>599</v>
      </c>
      <c r="E9" s="48">
        <v>55000</v>
      </c>
      <c r="F9" s="49">
        <f>IF(E9&gt;$L$19,(E9*15%),IF(E9&gt;$L$20,(E9*10%),IF(E9&gt;$L$21,(E9*5%))))</f>
        <v>8250</v>
      </c>
    </row>
    <row r="10" spans="3:10" x14ac:dyDescent="0.3">
      <c r="H10" t="s">
        <v>682</v>
      </c>
      <c r="I10">
        <f>MATCH(D8,Table411[[Name ]],0)</f>
        <v>4</v>
      </c>
    </row>
    <row r="12" spans="3:10" ht="15" thickBot="1" x14ac:dyDescent="0.35">
      <c r="D12" s="146" t="s">
        <v>683</v>
      </c>
      <c r="H12" s="152" t="s">
        <v>685</v>
      </c>
      <c r="I12" s="153" t="s">
        <v>603</v>
      </c>
    </row>
    <row r="13" spans="3:10" ht="18" x14ac:dyDescent="0.35">
      <c r="D13" s="147" t="s">
        <v>679</v>
      </c>
      <c r="E13" s="148" t="s">
        <v>602</v>
      </c>
      <c r="F13" s="149" t="s">
        <v>603</v>
      </c>
      <c r="H13" s="150">
        <v>1004</v>
      </c>
      <c r="I13" s="151">
        <f>VLOOKUP(H13,C5:F9,4,FALSE)</f>
        <v>11250</v>
      </c>
    </row>
    <row r="14" spans="3:10" ht="15" thickBot="1" x14ac:dyDescent="0.35">
      <c r="D14" s="135">
        <v>1002</v>
      </c>
      <c r="E14" s="136">
        <f>INDEX(C5:F9,MATCH(D14,C4:C9,0),MATCH(Table411[[#Headers],[Salary]],C4:F4,0))</f>
        <v>45000</v>
      </c>
      <c r="F14" s="137">
        <f>INDEX(C5:F9,MATCH(D14,C4:C9,0),MATCH(Table411[[#Headers],[Bonus]],C4:F4,0))</f>
        <v>6750</v>
      </c>
    </row>
    <row r="16" spans="3:10" x14ac:dyDescent="0.3">
      <c r="D16">
        <v>1003</v>
      </c>
      <c r="E16">
        <f>INDEX(C5:F9,MATCH(D16,C5:C9,0),MATCH(Table411[[#Headers],[Bonus]],C4:F4,0))</f>
        <v>6750</v>
      </c>
      <c r="H16">
        <f>MATCH(H13,C5:C9,0)</f>
        <v>4</v>
      </c>
    </row>
    <row r="18" spans="4:4" x14ac:dyDescent="0.3">
      <c r="D18">
        <v>1005</v>
      </c>
    </row>
  </sheetData>
  <dataValidations count="1">
    <dataValidation type="list" allowBlank="1" showInputMessage="1" showErrorMessage="1" sqref="H8 D14" xr:uid="{7FE34A3E-67F7-4932-98C3-CC8B2FC31DD4}">
      <formula1>$C$5:$C$9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zoomScale="98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2</v>
      </c>
      <c r="C3" s="73" t="s">
        <v>616</v>
      </c>
      <c r="D3" s="78" t="s">
        <v>617</v>
      </c>
    </row>
    <row r="4" spans="2:7" x14ac:dyDescent="0.3">
      <c r="B4" s="58" t="s">
        <v>618</v>
      </c>
      <c r="C4" s="71" t="s">
        <v>619</v>
      </c>
      <c r="D4" s="75">
        <v>2300</v>
      </c>
    </row>
    <row r="5" spans="2:7" x14ac:dyDescent="0.3">
      <c r="B5" s="58" t="s">
        <v>618</v>
      </c>
      <c r="C5" s="71" t="s">
        <v>620</v>
      </c>
      <c r="D5" s="76">
        <v>5500</v>
      </c>
    </row>
    <row r="6" spans="2:7" x14ac:dyDescent="0.3">
      <c r="B6" s="58" t="s">
        <v>621</v>
      </c>
      <c r="C6" s="71" t="s">
        <v>622</v>
      </c>
      <c r="D6" s="77">
        <v>800</v>
      </c>
      <c r="F6" s="70" t="s">
        <v>626</v>
      </c>
      <c r="G6">
        <f>SUMIF(B4:B9,"=Fruits",D4:D9)</f>
        <v>2000</v>
      </c>
    </row>
    <row r="7" spans="2:7" x14ac:dyDescent="0.3">
      <c r="B7" s="58"/>
      <c r="C7" s="71" t="s">
        <v>623</v>
      </c>
      <c r="D7" s="77">
        <v>400</v>
      </c>
    </row>
    <row r="8" spans="2:7" x14ac:dyDescent="0.3">
      <c r="B8" s="58" t="s">
        <v>618</v>
      </c>
      <c r="C8" s="71" t="s">
        <v>624</v>
      </c>
      <c r="D8" s="76">
        <v>4200</v>
      </c>
      <c r="F8" s="70" t="s">
        <v>627</v>
      </c>
      <c r="G8">
        <f>SUMIF(B4:B9,"",D4:D9)</f>
        <v>400</v>
      </c>
    </row>
    <row r="9" spans="2:7" x14ac:dyDescent="0.3">
      <c r="B9" s="57" t="s">
        <v>621</v>
      </c>
      <c r="C9" s="74" t="s">
        <v>625</v>
      </c>
      <c r="D9" s="79">
        <v>1200</v>
      </c>
    </row>
    <row r="16" spans="2:7" ht="20.399999999999999" x14ac:dyDescent="0.3">
      <c r="B16" s="82" t="s">
        <v>632</v>
      </c>
      <c r="C16" s="83" t="s">
        <v>636</v>
      </c>
    </row>
    <row r="17" spans="2:5" ht="15" x14ac:dyDescent="0.3">
      <c r="B17" s="80" t="s">
        <v>633</v>
      </c>
      <c r="C17" s="81">
        <v>32</v>
      </c>
    </row>
    <row r="18" spans="2:5" ht="15" x14ac:dyDescent="0.3">
      <c r="B18" s="80" t="s">
        <v>634</v>
      </c>
      <c r="C18" s="81">
        <v>54</v>
      </c>
      <c r="E18">
        <f>COUNTIF(B17:B20,"oranges")</f>
        <v>1</v>
      </c>
    </row>
    <row r="19" spans="2:5" ht="15" x14ac:dyDescent="0.3">
      <c r="B19" s="80" t="s">
        <v>635</v>
      </c>
      <c r="C19" s="81">
        <v>75</v>
      </c>
    </row>
    <row r="20" spans="2:5" ht="15" x14ac:dyDescent="0.3">
      <c r="B20" s="84" t="s">
        <v>633</v>
      </c>
      <c r="C20" s="85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D06C3-E835-4820-937A-C092995027EB}">
  <dimension ref="C2:J11"/>
  <sheetViews>
    <sheetView zoomScale="99" zoomScaleNormal="99" workbookViewId="0">
      <selection activeCell="F15" sqref="F15"/>
    </sheetView>
  </sheetViews>
  <sheetFormatPr defaultRowHeight="14.4" x14ac:dyDescent="0.3"/>
  <cols>
    <col min="3" max="3" width="6" bestFit="1" customWidth="1"/>
    <col min="6" max="6" width="37.5546875" bestFit="1" customWidth="1"/>
    <col min="7" max="7" width="12.44140625" bestFit="1" customWidth="1"/>
    <col min="9" max="9" width="25.33203125" bestFit="1" customWidth="1"/>
  </cols>
  <sheetData>
    <row r="2" spans="3:10" ht="15" thickBot="1" x14ac:dyDescent="0.35"/>
    <row r="3" spans="3:10" ht="21" thickBot="1" x14ac:dyDescent="0.35">
      <c r="C3" s="127" t="s">
        <v>632</v>
      </c>
      <c r="D3" s="128"/>
      <c r="E3" s="128"/>
    </row>
    <row r="4" spans="3:10" ht="15" x14ac:dyDescent="0.3">
      <c r="C4" s="129">
        <v>120</v>
      </c>
      <c r="D4" s="129"/>
      <c r="E4" s="129"/>
    </row>
    <row r="5" spans="3:10" ht="15" x14ac:dyDescent="0.3">
      <c r="C5" s="129">
        <v>10</v>
      </c>
      <c r="D5" s="129"/>
      <c r="E5" s="129"/>
      <c r="F5" s="30" t="s">
        <v>675</v>
      </c>
      <c r="G5" s="30">
        <f>SUBTOTAL(9,C4:C11)</f>
        <v>537</v>
      </c>
      <c r="I5" s="30" t="s">
        <v>676</v>
      </c>
      <c r="J5" s="30">
        <f>SUBTOTAL(109,C4:C11)</f>
        <v>364</v>
      </c>
    </row>
    <row r="6" spans="3:10" ht="15" hidden="1" x14ac:dyDescent="0.3">
      <c r="C6" s="129">
        <v>150</v>
      </c>
      <c r="D6" s="129"/>
      <c r="E6" s="129"/>
      <c r="F6" s="30" t="s">
        <v>674</v>
      </c>
      <c r="G6" s="30">
        <f>SUBTOTAL(101,C4:C11)</f>
        <v>60.666666666666664</v>
      </c>
    </row>
    <row r="7" spans="3:10" ht="15" hidden="1" x14ac:dyDescent="0.3">
      <c r="C7" s="129">
        <v>23</v>
      </c>
      <c r="D7" s="126"/>
      <c r="E7" s="126"/>
    </row>
    <row r="8" spans="3:10" ht="15" x14ac:dyDescent="0.3">
      <c r="C8" s="129">
        <v>65</v>
      </c>
    </row>
    <row r="9" spans="3:10" ht="15" x14ac:dyDescent="0.3">
      <c r="C9" s="129">
        <v>55</v>
      </c>
      <c r="H9" s="114" t="s">
        <v>677</v>
      </c>
    </row>
    <row r="10" spans="3:10" ht="15" x14ac:dyDescent="0.3">
      <c r="C10" s="129">
        <v>56</v>
      </c>
    </row>
    <row r="11" spans="3:10" ht="15" x14ac:dyDescent="0.3">
      <c r="C11" s="129">
        <v>58</v>
      </c>
    </row>
  </sheetData>
  <autoFilter ref="C3:C11" xr:uid="{F3FD06C3-E835-4820-937A-C092995027E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Dmart_sales_dataset</vt:lpstr>
      <vt:lpstr>Sheet3</vt:lpstr>
      <vt:lpstr>Sheet4</vt:lpstr>
      <vt:lpstr>Sheet5</vt:lpstr>
      <vt:lpstr>Sheet6</vt:lpstr>
      <vt:lpstr>Sheet2</vt:lpstr>
      <vt:lpstr>Sheet1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Region</vt:lpstr>
      <vt:lpstr>sales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2026-07-10T15:04:31Z</dcterms:modified>
</cp:coreProperties>
</file>