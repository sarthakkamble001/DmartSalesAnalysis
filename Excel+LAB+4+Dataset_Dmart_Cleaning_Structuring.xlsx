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DELL\Desktop\Advanced Excel\"/>
    </mc:Choice>
  </mc:AlternateContent>
  <xr:revisionPtr revIDLastSave="0" documentId="13_ncr:1_{8F20CD7D-93AF-4506-A7FB-FD1601094F9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mart_sales_dataset" sheetId="1" r:id="rId1"/>
    <sheet name="Sheet3" sheetId="3" r:id="rId2"/>
    <sheet name="Sheet4" sheetId="4" r:id="rId3"/>
    <sheet name="Sheet5" sheetId="5" r:id="rId4"/>
    <sheet name="Sheet2" sheetId="6" r:id="rId5"/>
  </sheets>
  <definedNames>
    <definedName name="Category">Dmart_sales_data[Category]</definedName>
    <definedName name="city">Dmart_sales_data[Updated_City]</definedName>
    <definedName name="customer_type">Dmart_sales_data[customer_type]</definedName>
    <definedName name="delivery_date">Dmart_sales_data[delivery_date]</definedName>
    <definedName name="discount">Dmart_sales_data[discount]</definedName>
    <definedName name="order_date">Dmart_sales_data[order_date]</definedName>
    <definedName name="order_id">Dmart_sales_data[Column1]</definedName>
    <definedName name="payment_mode">Dmart_sales_data[payment_mode]</definedName>
    <definedName name="Region">Dmart_sales_data[Updated region]</definedName>
    <definedName name="sales">Dmart_sales_data[sales]</definedName>
    <definedName name="transactions">Dmart_sales_data[payment_mode]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gT5L9Uh5Mkce+NjaHPxVAbIJlDW9RbqkjfO6mNdsl18="/>
    </ext>
  </extLst>
</workbook>
</file>

<file path=xl/calcChain.xml><?xml version="1.0" encoding="utf-8"?>
<calcChain xmlns="http://schemas.openxmlformats.org/spreadsheetml/2006/main">
  <c r="W22" i="1" l="1" a="1"/>
  <c r="W22" i="1" s="1"/>
  <c r="W20" i="1" a="1"/>
  <c r="W20" i="1" s="1"/>
  <c r="W19" i="1" a="1"/>
  <c r="W19" i="1" s="1"/>
  <c r="W16" i="1" a="1"/>
  <c r="W16" i="1" s="1"/>
  <c r="W15" i="1" a="1"/>
  <c r="W15" i="1" s="1"/>
  <c r="W14" i="1" a="1"/>
  <c r="W14" i="1" s="1"/>
  <c r="W13" i="1" a="1"/>
  <c r="W13" i="1" s="1"/>
  <c r="W9" i="1" a="1"/>
  <c r="W9" i="1" s="1"/>
  <c r="W8" i="1" a="1"/>
  <c r="W8" i="1" s="1"/>
  <c r="W7" i="1" a="1"/>
  <c r="W7" i="1" s="1"/>
  <c r="W6" i="1" a="1"/>
  <c r="W6" i="1" s="1"/>
  <c r="T36" i="1" a="1"/>
  <c r="T36" i="1" s="1"/>
  <c r="T31" i="1" a="1"/>
  <c r="T31" i="1" s="1"/>
  <c r="T22" i="1" a="1"/>
  <c r="T22" i="1" s="1"/>
  <c r="T19" i="1"/>
  <c r="T13" i="1"/>
  <c r="T33" i="1" a="1"/>
  <c r="T33" i="1" s="1"/>
  <c r="T32" i="1" a="1"/>
  <c r="T32" i="1" s="1"/>
  <c r="T30" i="1" a="1"/>
  <c r="T30" i="1" s="1"/>
  <c r="T25" i="1" a="1"/>
  <c r="T25" i="1" s="1"/>
  <c r="T24" i="1" a="1"/>
  <c r="T24" i="1" s="1"/>
  <c r="T23" i="1" a="1"/>
  <c r="T23" i="1" s="1"/>
  <c r="E18" i="6"/>
  <c r="T15" i="1"/>
  <c r="G8" i="6"/>
  <c r="G6" i="6"/>
  <c r="T10" i="1"/>
  <c r="T8" i="1"/>
  <c r="T6" i="1"/>
  <c r="I25" i="5"/>
  <c r="Q2" i="1"/>
  <c r="J9" i="5"/>
  <c r="J10" i="5"/>
  <c r="J19" i="5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R18" i="5"/>
  <c r="R19" i="5"/>
  <c r="R20" i="5"/>
  <c r="R22" i="5"/>
  <c r="R21" i="5"/>
  <c r="J21" i="5"/>
  <c r="J20" i="5"/>
  <c r="J22" i="5"/>
  <c r="J23" i="5"/>
  <c r="J11" i="5"/>
  <c r="J12" i="5"/>
  <c r="J13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<sst xmlns="http://schemas.openxmlformats.org/spreadsheetml/2006/main" count="4652" uniqueCount="663">
  <si>
    <t>Column1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</si>
  <si>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</si>
  <si>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</si>
  <si>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</si>
  <si>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</si>
  <si>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</si>
  <si>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</si>
  <si>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</si>
  <si>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</si>
  <si>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</si>
  <si>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</si>
  <si>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</si>
  <si>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</si>
  <si>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</si>
  <si>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</si>
  <si>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</si>
  <si>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</si>
  <si>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Bangalore</t>
  </si>
  <si>
    <t>ORD100001</t>
  </si>
  <si>
    <t>Electronics</t>
  </si>
  <si>
    <t>Regular</t>
  </si>
  <si>
    <t>Card</t>
  </si>
  <si>
    <t>MUMBAI</t>
  </si>
  <si>
    <t>ORD100002</t>
  </si>
  <si>
    <t>North</t>
  </si>
  <si>
    <t>Home Care</t>
  </si>
  <si>
    <t>Cash</t>
  </si>
  <si>
    <t>Pune</t>
  </si>
  <si>
    <t>ORD100003</t>
  </si>
  <si>
    <t>South</t>
  </si>
  <si>
    <t>hyderabad</t>
  </si>
  <si>
    <t>ORD100004</t>
  </si>
  <si>
    <t>New</t>
  </si>
  <si>
    <t>ORD100005</t>
  </si>
  <si>
    <t>Grocery</t>
  </si>
  <si>
    <t>Hyderabad</t>
  </si>
  <si>
    <t>ORD100006</t>
  </si>
  <si>
    <t>Personal Care</t>
  </si>
  <si>
    <t>ORD100007</t>
  </si>
  <si>
    <t>pune</t>
  </si>
  <si>
    <t>ORD100008</t>
  </si>
  <si>
    <t>Chennai</t>
  </si>
  <si>
    <t>ORD100009</t>
  </si>
  <si>
    <t>ORD100010</t>
  </si>
  <si>
    <t>chennai</t>
  </si>
  <si>
    <t>ORD100011</t>
  </si>
  <si>
    <t>ORD100012</t>
  </si>
  <si>
    <t>ORD100013</t>
  </si>
  <si>
    <t>PUNE</t>
  </si>
  <si>
    <t>ORD100014</t>
  </si>
  <si>
    <t>ORD100015</t>
  </si>
  <si>
    <t>ORD100016</t>
  </si>
  <si>
    <t>BANGALORE</t>
  </si>
  <si>
    <t>ORD100017</t>
  </si>
  <si>
    <t>ORD100018</t>
  </si>
  <si>
    <t>mumbai</t>
  </si>
  <si>
    <t>ORD100019</t>
  </si>
  <si>
    <t>ORD100020</t>
  </si>
  <si>
    <t>HYDERABAD</t>
  </si>
  <si>
    <t>ORD100021</t>
  </si>
  <si>
    <t>ORD100022</t>
  </si>
  <si>
    <t>ORD100023</t>
  </si>
  <si>
    <t>ORD100024</t>
  </si>
  <si>
    <t>DELHI</t>
  </si>
  <si>
    <t>ORD100025</t>
  </si>
  <si>
    <t>delhi</t>
  </si>
  <si>
    <t>ORD100026</t>
  </si>
  <si>
    <t>ORD100027</t>
  </si>
  <si>
    <t>CHENNAI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</si>
  <si>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</si>
  <si>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</si>
  <si>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</si>
  <si>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</si>
  <si>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</si>
  <si>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</si>
  <si>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</si>
  <si>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</si>
  <si>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</si>
  <si>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</si>
  <si>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Mumbai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</si>
  <si>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</si>
  <si>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</si>
  <si>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</si>
  <si>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</si>
  <si>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</si>
  <si>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</si>
  <si>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</si>
  <si>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</si>
  <si>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</si>
  <si>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</si>
  <si>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</si>
  <si>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</si>
  <si>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</si>
  <si>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</si>
  <si>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</si>
  <si>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bangalore</t>
  </si>
  <si>
    <t>ORD100053</t>
  </si>
  <si>
    <t>ORD100054</t>
  </si>
  <si>
    <t>ORD100055</t>
  </si>
  <si>
    <t>ORD100056</t>
  </si>
  <si>
    <t>Delhi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</si>
  <si>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</si>
  <si>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</si>
  <si>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</si>
  <si>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</si>
  <si>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</si>
  <si>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</si>
  <si>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</si>
  <si>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</si>
  <si>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</si>
  <si>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</si>
  <si>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</si>
  <si>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</si>
  <si>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</si>
  <si>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</si>
  <si>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</si>
  <si>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</si>
  <si>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</si>
  <si>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</si>
  <si>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</si>
  <si>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</si>
  <si>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</si>
  <si>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</si>
  <si>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</si>
  <si>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</si>
  <si>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</si>
  <si>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</si>
  <si>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</si>
  <si>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</si>
  <si>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</si>
  <si>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</si>
  <si>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</si>
  <si>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</si>
  <si>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</si>
  <si>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</si>
  <si>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</si>
  <si>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</si>
  <si>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</si>
  <si>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</si>
  <si>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</si>
  <si>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</si>
  <si>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</si>
  <si>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</si>
  <si>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</si>
  <si>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</si>
  <si>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</si>
  <si>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</si>
  <si>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</si>
  <si>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</si>
  <si>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</si>
  <si>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</si>
  <si>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</si>
  <si>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</si>
  <si>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</si>
  <si>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</si>
  <si>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</si>
  <si>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</si>
  <si>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</si>
  <si>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</si>
  <si>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</si>
  <si>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</si>
  <si>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</si>
  <si>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</si>
  <si>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</si>
  <si>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</si>
  <si>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</si>
  <si>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</si>
  <si>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</si>
  <si>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</si>
  <si>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</si>
  <si>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</si>
  <si>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</si>
  <si>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</si>
  <si>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</si>
  <si>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</si>
  <si>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</si>
  <si>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</si>
  <si>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</si>
  <si>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</si>
  <si>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</si>
  <si>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</si>
  <si>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</si>
  <si>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</si>
  <si>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</si>
  <si>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</si>
  <si>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</si>
  <si>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</si>
  <si>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</si>
  <si>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</si>
  <si>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</si>
  <si>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</si>
  <si>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</si>
  <si>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</si>
  <si>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</si>
  <si>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</si>
  <si>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</si>
  <si>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</si>
  <si>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</si>
  <si>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</si>
  <si>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</si>
  <si>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</si>
  <si>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</si>
  <si>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</si>
  <si>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</si>
  <si>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</si>
  <si>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</si>
  <si>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</si>
  <si>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</si>
  <si>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</si>
  <si>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</si>
  <si>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</si>
  <si>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</si>
  <si>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</si>
  <si>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</si>
  <si>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</si>
  <si>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</si>
  <si>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</si>
  <si>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</si>
  <si>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</si>
  <si>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</si>
  <si>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</si>
  <si>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</si>
  <si>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</si>
  <si>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</si>
  <si>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</si>
  <si>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</si>
  <si>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</si>
  <si>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</si>
  <si>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</si>
  <si>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</si>
  <si>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</si>
  <si>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</si>
  <si>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</si>
  <si>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</si>
  <si>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</si>
  <si>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</si>
  <si>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</si>
  <si>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</si>
  <si>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</si>
  <si>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</si>
  <si>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</si>
  <si>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</si>
  <si>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</si>
  <si>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</si>
  <si>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</si>
  <si>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</si>
  <si>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</si>
  <si>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</si>
  <si>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</si>
  <si>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</si>
  <si>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</si>
  <si>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</si>
  <si>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</si>
  <si>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</si>
  <si>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</si>
  <si>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</si>
  <si>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</si>
  <si>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</si>
  <si>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</si>
  <si>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</si>
  <si>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</si>
  <si>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</si>
  <si>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</si>
  <si>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</si>
  <si>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</si>
  <si>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</si>
  <si>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</si>
  <si>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</si>
  <si>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</si>
  <si>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</si>
  <si>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</si>
  <si>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</si>
  <si>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</si>
  <si>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</si>
  <si>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</si>
  <si>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</si>
  <si>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</si>
  <si>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</si>
  <si>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</si>
  <si>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</si>
  <si>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</si>
  <si>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</si>
  <si>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</si>
  <si>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</si>
  <si>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</si>
  <si>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</si>
  <si>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</si>
  <si>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</si>
  <si>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</si>
  <si>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</si>
  <si>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</si>
  <si>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</si>
  <si>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</si>
  <si>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</si>
  <si>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</si>
  <si>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</si>
  <si>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</si>
  <si>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</si>
  <si>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</si>
  <si>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</si>
  <si>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</si>
  <si>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</si>
  <si>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</si>
  <si>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</si>
  <si>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</si>
  <si>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</si>
  <si>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</si>
  <si>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</si>
  <si>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</si>
  <si>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</si>
  <si>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</si>
  <si>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</si>
  <si>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</si>
  <si>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</si>
  <si>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</si>
  <si>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</si>
  <si>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</si>
  <si>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</si>
  <si>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</si>
  <si>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</si>
  <si>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</si>
  <si>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</si>
  <si>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</si>
  <si>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</si>
  <si>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</si>
  <si>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</si>
  <si>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</si>
  <si>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</si>
  <si>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</si>
  <si>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</si>
  <si>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</si>
  <si>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</si>
  <si>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</si>
  <si>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</si>
  <si>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</si>
  <si>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</si>
  <si>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</si>
  <si>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</si>
  <si>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</si>
  <si>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</si>
  <si>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</si>
  <si>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</si>
  <si>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</si>
  <si>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</si>
  <si>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</si>
  <si>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</si>
  <si>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</si>
  <si>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</si>
  <si>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</si>
  <si>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</si>
  <si>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</si>
  <si>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</si>
  <si>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</si>
  <si>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</si>
  <si>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</si>
  <si>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</si>
  <si>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</si>
  <si>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</si>
  <si>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</si>
  <si>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</si>
  <si>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</si>
  <si>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</si>
  <si>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</si>
  <si>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</si>
  <si>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</si>
  <si>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</si>
  <si>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</si>
  <si>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</si>
  <si>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</si>
  <si>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</si>
  <si>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</si>
  <si>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</si>
  <si>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</si>
  <si>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</si>
  <si>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</si>
  <si>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</si>
  <si>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</si>
  <si>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</si>
  <si>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</si>
  <si>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</si>
  <si>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</si>
  <si>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</si>
  <si>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</si>
  <si>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</si>
  <si>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</si>
  <si>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</si>
  <si>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</si>
  <si>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</si>
  <si>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</si>
  <si>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</si>
  <si>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</si>
  <si>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</si>
  <si>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</si>
  <si>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</si>
  <si>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</si>
  <si>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</si>
  <si>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</si>
  <si>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</si>
  <si>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</si>
  <si>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</si>
  <si>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</si>
  <si>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</si>
  <si>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</si>
  <si>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</si>
  <si>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</si>
  <si>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</si>
  <si>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</si>
  <si>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</si>
  <si>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</si>
  <si>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</si>
  <si>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</si>
  <si>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</si>
  <si>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</si>
  <si>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</si>
  <si>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</si>
  <si>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</si>
  <si>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</si>
  <si>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</si>
  <si>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</si>
  <si>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</si>
  <si>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</si>
  <si>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</si>
  <si>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</si>
  <si>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</si>
  <si>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</si>
  <si>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</si>
  <si>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</si>
  <si>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</si>
  <si>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</si>
  <si>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</si>
  <si>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</si>
  <si>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</si>
  <si>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</si>
  <si>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</si>
  <si>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</si>
  <si>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</si>
  <si>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</si>
  <si>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</si>
  <si>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</si>
  <si>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</si>
  <si>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</si>
  <si>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</si>
  <si>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</si>
  <si>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</si>
  <si>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</si>
  <si>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</si>
  <si>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</si>
  <si>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</si>
  <si>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</si>
  <si>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</si>
  <si>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</si>
  <si>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</si>
  <si>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</si>
  <si>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</si>
  <si>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</si>
  <si>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</si>
  <si>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</si>
  <si>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</si>
  <si>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</si>
  <si>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</si>
  <si>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</si>
  <si>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</si>
  <si>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</si>
  <si>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</si>
  <si>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</si>
  <si>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</si>
  <si>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</si>
  <si>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</si>
  <si>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</si>
  <si>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</si>
  <si>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</si>
  <si>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</si>
  <si>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</si>
  <si>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</si>
  <si>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</si>
  <si>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</si>
  <si>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</si>
  <si>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</si>
  <si>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</si>
  <si>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</si>
  <si>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</si>
  <si>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</si>
  <si>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</si>
  <si>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</si>
  <si>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</si>
  <si>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</si>
  <si>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</si>
  <si>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</si>
  <si>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</si>
  <si>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</si>
  <si>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</si>
  <si>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</si>
  <si>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</si>
  <si>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</si>
  <si>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</si>
  <si>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</si>
  <si>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</si>
  <si>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</si>
  <si>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</si>
  <si>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</si>
  <si>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</si>
  <si>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</si>
  <si>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</si>
  <si>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</si>
  <si>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</si>
  <si>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</si>
  <si>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</si>
  <si>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</si>
  <si>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</si>
  <si>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</si>
  <si>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</si>
  <si>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</si>
  <si>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</si>
  <si>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</si>
  <si>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</si>
  <si>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</si>
  <si>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</si>
  <si>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</si>
  <si>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</si>
  <si>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</si>
  <si>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</si>
  <si>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</si>
  <si>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</si>
  <si>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</si>
  <si>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</si>
  <si>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</si>
  <si>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</si>
  <si>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</si>
  <si>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</si>
  <si>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</si>
  <si>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</si>
  <si>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</si>
  <si>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</si>
  <si>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</si>
  <si>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</si>
  <si>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</si>
  <si>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</si>
  <si>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</si>
  <si>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</si>
  <si>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</si>
  <si>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</si>
  <si>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</si>
  <si>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customer_type2</t>
  </si>
  <si>
    <t xml:space="preserve"> pune </t>
  </si>
  <si>
    <t>Updated_City</t>
  </si>
  <si>
    <t>First_Name</t>
  </si>
  <si>
    <t>Last_Name</t>
  </si>
  <si>
    <t>Full_Name</t>
  </si>
  <si>
    <t>Virat</t>
  </si>
  <si>
    <t>Kolhi</t>
  </si>
  <si>
    <t>Virat Kolhi</t>
  </si>
  <si>
    <t xml:space="preserve">Rohit </t>
  </si>
  <si>
    <t>Sharma</t>
  </si>
  <si>
    <t>Rohit Sharma</t>
  </si>
  <si>
    <t xml:space="preserve">Sachin </t>
  </si>
  <si>
    <t>Tendulkar</t>
  </si>
  <si>
    <t xml:space="preserve">Sanju </t>
  </si>
  <si>
    <t>Samson</t>
  </si>
  <si>
    <t>Sachin Tendulkar</t>
  </si>
  <si>
    <t>Sanju Samson</t>
  </si>
  <si>
    <t>email</t>
  </si>
  <si>
    <t>virat@gmail.com</t>
  </si>
  <si>
    <t>rohit@gmail.com</t>
  </si>
  <si>
    <t>sachin@gmail.com</t>
  </si>
  <si>
    <t>sanju@gmail.com</t>
  </si>
  <si>
    <t>usernames</t>
  </si>
  <si>
    <t>kolhiV</t>
  </si>
  <si>
    <t>sharmaR</t>
  </si>
  <si>
    <t>tendulkarS</t>
  </si>
  <si>
    <t>samsonS</t>
  </si>
  <si>
    <t>Contact_No</t>
  </si>
  <si>
    <t>91-882742725</t>
  </si>
  <si>
    <t>91-945623568</t>
  </si>
  <si>
    <t>91-254514574</t>
  </si>
  <si>
    <t>91-775623056</t>
  </si>
  <si>
    <t>10Digit_no</t>
  </si>
  <si>
    <t>West</t>
  </si>
  <si>
    <t>Updated region</t>
  </si>
  <si>
    <t>91-8827427215</t>
  </si>
  <si>
    <t>91-9456235168</t>
  </si>
  <si>
    <t>91-2545145714</t>
  </si>
  <si>
    <t>91-7756230516</t>
  </si>
  <si>
    <t>First two _no</t>
  </si>
  <si>
    <t>first_three no</t>
  </si>
  <si>
    <t xml:space="preserve">Name </t>
  </si>
  <si>
    <t>Manish</t>
  </si>
  <si>
    <t>Priya</t>
  </si>
  <si>
    <t>Snehal</t>
  </si>
  <si>
    <t>Mangesh</t>
  </si>
  <si>
    <t>Marks</t>
  </si>
  <si>
    <t>Grade</t>
  </si>
  <si>
    <t>&gt;90</t>
  </si>
  <si>
    <t>&gt;75</t>
  </si>
  <si>
    <t>&gt;60</t>
  </si>
  <si>
    <t>&gt;40</t>
  </si>
  <si>
    <t>A++</t>
  </si>
  <si>
    <t>A+</t>
  </si>
  <si>
    <t>A</t>
  </si>
  <si>
    <t>B</t>
  </si>
  <si>
    <t>Sahil</t>
  </si>
  <si>
    <t>Else</t>
  </si>
  <si>
    <t>Fail</t>
  </si>
  <si>
    <t>Salary</t>
  </si>
  <si>
    <t>Bonus</t>
  </si>
  <si>
    <t>Salary Range</t>
  </si>
  <si>
    <t>&lt;50000</t>
  </si>
  <si>
    <t>no bonus</t>
  </si>
  <si>
    <t>Number 1</t>
  </si>
  <si>
    <t>Number 2</t>
  </si>
  <si>
    <t>Division</t>
  </si>
  <si>
    <t>Sales_Range</t>
  </si>
  <si>
    <t>Discount or Not</t>
  </si>
  <si>
    <t>Total Sales</t>
  </si>
  <si>
    <t>Total sales by UPI mode of payment</t>
  </si>
  <si>
    <t>Total Sales by Cash mode of payment</t>
  </si>
  <si>
    <t>Total Sales by Card mode of payment</t>
  </si>
  <si>
    <t>Food</t>
  </si>
  <si>
    <t>Sales</t>
  </si>
  <si>
    <t>Vegetables</t>
  </si>
  <si>
    <t>Tomatoes</t>
  </si>
  <si>
    <t>Celery</t>
  </si>
  <si>
    <t>Fruits</t>
  </si>
  <si>
    <t>Oranges</t>
  </si>
  <si>
    <t>Butter</t>
  </si>
  <si>
    <t>Carrots</t>
  </si>
  <si>
    <t>Apples</t>
  </si>
  <si>
    <t>Total Sales according to Fruit</t>
  </si>
  <si>
    <t>No Catergory Sales</t>
  </si>
  <si>
    <t>Total Sales by Clothing and East region</t>
  </si>
  <si>
    <t>SUMIF</t>
  </si>
  <si>
    <t>SUMIFS</t>
  </si>
  <si>
    <t>Total Sales by Electronics North and more than 40 % discount</t>
  </si>
  <si>
    <t>Data</t>
  </si>
  <si>
    <t>apples</t>
  </si>
  <si>
    <t>oranges</t>
  </si>
  <si>
    <t>peaches</t>
  </si>
  <si>
    <t>Data2</t>
  </si>
  <si>
    <t>Total Orders</t>
  </si>
  <si>
    <t>COUNT</t>
  </si>
  <si>
    <t>COUNTIF</t>
  </si>
  <si>
    <t>Transactions done through Cash</t>
  </si>
  <si>
    <t>Transactions done through Card</t>
  </si>
  <si>
    <t>Transactions done through UPI</t>
  </si>
  <si>
    <t>Find the number of transactions having sales value more than 4000</t>
  </si>
  <si>
    <t>Find the number of transactions having sales value more than 4000 for North Region</t>
  </si>
  <si>
    <t>Find the number of transactions having sales value more than 4000 for East Region</t>
  </si>
  <si>
    <t>Find the number of transactions having sales value more than 4000 for South Region</t>
  </si>
  <si>
    <t>Find the number of transactions having sales value more than 4000 for West Region</t>
  </si>
  <si>
    <t>COUNTIFS</t>
  </si>
  <si>
    <t>Count sales for customer type Member and payment mode is UPI or Card</t>
  </si>
  <si>
    <t>Total Sales by North</t>
  </si>
  <si>
    <t>Total Sales by South</t>
  </si>
  <si>
    <t>Total Sales by East</t>
  </si>
  <si>
    <t>Total Sales by West</t>
  </si>
  <si>
    <t>No. of Orders for North</t>
  </si>
  <si>
    <t>No. of Orders for South</t>
  </si>
  <si>
    <t>No. of Orders for East</t>
  </si>
  <si>
    <t>No. of Orders for West</t>
  </si>
  <si>
    <t>Total Sales by Region</t>
  </si>
  <si>
    <t>No. of orders by region</t>
  </si>
  <si>
    <t>Total Sales for 2023</t>
  </si>
  <si>
    <t>Last six month sales</t>
  </si>
  <si>
    <t>Count Duplicate of region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</si>
</sst>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0.0"/>
    <numFmt numFmtId="166" formatCode="&quot;₹&quot;\ #,##0.00"/>
  </numFmts>
  <fonts count="25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</font>
    <font>
      <sz val="10"/>
      <color theme="1"/>
      <name val="Aptos Narrow"/>
    </font>
    <font>
      <sz val="8"/>
      <name val="Aptos Narrow"/>
      <scheme val="minor"/>
    </font>
    <font>
      <b/>
      <sz val="11"/>
      <color theme="0"/>
      <name val="Aptos Narrow"/>
    </font>
    <font>
      <b/>
      <sz val="10"/>
      <color theme="0"/>
      <name val="Aptos Narrow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b/>
      <sz val="10"/>
      <color theme="0"/>
      <name val="Aptos Narrow"/>
      <family val="2"/>
    </font>
    <font>
      <sz val="10"/>
      <color theme="1"/>
      <name val="Aptos Narrow"/>
      <family val="2"/>
    </font>
    <font>
      <u/>
      <sz val="11"/>
      <color theme="10"/>
      <name val="Aptos Narrow"/>
      <scheme val="minor"/>
    </font>
    <font>
      <b/>
      <sz val="11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</font>
    <font>
      <b/>
      <sz val="11"/>
      <color theme="1"/>
      <name val="Aptos Narrow"/>
      <family val="2"/>
    </font>
    <font>
      <b/>
      <sz val="12.3"/>
      <color rgb="FF333333"/>
      <name val="Segoe UI"/>
      <family val="2"/>
    </font>
    <font>
      <sz val="10"/>
      <color rgb="FF212529"/>
      <name val="Segoe UI"/>
      <family val="2"/>
    </font>
    <font>
      <sz val="11"/>
      <color theme="1"/>
      <name val="Aptos Narrow"/>
      <scheme val="minor"/>
    </font>
    <font>
      <sz val="11"/>
      <color rgb="FF006100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/>
        <bgColor theme="5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rgb="FFD8D8D8"/>
        <bgColor indexed="64"/>
      </patternFill>
    </fill>
    <fill>
      <patternFill patternType="solid">
        <fgColor rgb="FFF4F4F4"/>
        <bgColor indexed="64"/>
      </patternFill>
    </fill>
    <fill>
      <patternFill patternType="solid">
        <fgColor rgb="FFC6EFCE"/>
      </patternFill>
    </fill>
    <fill>
      <patternFill patternType="solid">
        <fgColor rgb="FFFFFFCC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/>
      </patternFill>
    </fill>
    <fill>
      <patternFill patternType="solid">
        <fgColor rgb="FFFFFF00"/>
        <bgColor indexed="64"/>
      </patternFill>
    </fill>
  </fills>
  <borders count="32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theme="1"/>
      </left>
      <right/>
      <top style="thin">
        <color rgb="FF000000"/>
      </top>
      <bottom/>
      <diagonal/>
    </border>
    <border>
      <left/>
      <right style="thin">
        <color theme="1"/>
      </right>
      <top style="thin">
        <color rgb="FF000000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/>
      <bottom style="thin">
        <color theme="5" tint="0.39997558519241921"/>
      </bottom>
      <diagonal/>
    </border>
    <border>
      <left/>
      <right/>
      <top style="thin">
        <color theme="5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1">
    <xf numFmtId="0" fontId="0" fillId="0" borderId="0"/>
    <xf numFmtId="0" fontId="13" fillId="0" borderId="0" applyNumberFormat="0" applyFill="0" applyBorder="0" applyAlignment="0" applyProtection="0"/>
    <xf numFmtId="0" fontId="23" fillId="8" borderId="0" applyNumberFormat="0" applyBorder="0" applyAlignment="0" applyProtection="0"/>
    <xf numFmtId="0" fontId="22" fillId="9" borderId="29" applyNumberFormat="0" applyFont="0" applyAlignment="0" applyProtection="0"/>
    <xf numFmtId="0" fontId="24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24" fillId="14" borderId="0" applyNumberFormat="0" applyBorder="0" applyAlignment="0" applyProtection="0"/>
    <xf numFmtId="0" fontId="1" fillId="15" borderId="0" applyNumberFormat="0" applyBorder="0" applyAlignment="0" applyProtection="0"/>
    <xf numFmtId="0" fontId="24" fillId="16" borderId="0" applyNumberFormat="0" applyBorder="0" applyAlignment="0" applyProtection="0"/>
  </cellStyleXfs>
  <cellXfs count="122">
    <xf numFmtId="0" fontId="0" fillId="0" borderId="0" xfId="0"/>
    <xf numFmtId="0" fontId="4" fillId="0" borderId="0" xfId="0" applyFont="1"/>
    <xf numFmtId="0" fontId="5" fillId="0" borderId="0" xfId="0" applyFont="1"/>
    <xf numFmtId="0" fontId="4" fillId="3" borderId="2" xfId="0" applyFont="1" applyFill="1" applyBorder="1"/>
    <xf numFmtId="0" fontId="4" fillId="3" borderId="1" xfId="0" applyFont="1" applyFill="1" applyBorder="1"/>
    <xf numFmtId="0" fontId="5" fillId="3" borderId="1" xfId="0" applyFont="1" applyFill="1" applyBorder="1"/>
    <xf numFmtId="164" fontId="5" fillId="3" borderId="1" xfId="0" applyNumberFormat="1" applyFont="1" applyFill="1" applyBorder="1"/>
    <xf numFmtId="0" fontId="4" fillId="3" borderId="3" xfId="0" applyFont="1" applyFill="1" applyBorder="1"/>
    <xf numFmtId="0" fontId="4" fillId="0" borderId="4" xfId="0" applyFont="1" applyBorder="1"/>
    <xf numFmtId="0" fontId="4" fillId="0" borderId="5" xfId="0" applyFont="1" applyBorder="1"/>
    <xf numFmtId="0" fontId="5" fillId="0" borderId="5" xfId="0" applyFont="1" applyBorder="1"/>
    <xf numFmtId="164" fontId="5" fillId="0" borderId="5" xfId="0" applyNumberFormat="1" applyFont="1" applyBorder="1"/>
    <xf numFmtId="0" fontId="4" fillId="0" borderId="6" xfId="0" applyFont="1" applyBorder="1"/>
    <xf numFmtId="0" fontId="4" fillId="3" borderId="4" xfId="0" applyFont="1" applyFill="1" applyBorder="1"/>
    <xf numFmtId="0" fontId="4" fillId="3" borderId="5" xfId="0" applyFont="1" applyFill="1" applyBorder="1"/>
    <xf numFmtId="0" fontId="5" fillId="3" borderId="5" xfId="0" applyFont="1" applyFill="1" applyBorder="1"/>
    <xf numFmtId="164" fontId="5" fillId="3" borderId="5" xfId="0" applyNumberFormat="1" applyFont="1" applyFill="1" applyBorder="1"/>
    <xf numFmtId="0" fontId="4" fillId="3" borderId="6" xfId="0" applyFont="1" applyFill="1" applyBorder="1"/>
    <xf numFmtId="0" fontId="4" fillId="0" borderId="6" xfId="0" applyFont="1" applyBorder="1" applyAlignment="1">
      <alignment horizontal="left"/>
    </xf>
    <xf numFmtId="0" fontId="0" fillId="0" borderId="0" xfId="0" applyAlignment="1">
      <alignment vertical="center" wrapText="1"/>
    </xf>
    <xf numFmtId="0" fontId="7" fillId="2" borderId="7" xfId="0" applyFont="1" applyFill="1" applyBorder="1" applyAlignment="1">
      <alignment horizontal="center" vertical="top"/>
    </xf>
    <xf numFmtId="0" fontId="7" fillId="2" borderId="7" xfId="0" applyFont="1" applyFill="1" applyBorder="1" applyAlignment="1">
      <alignment horizontal="center"/>
    </xf>
    <xf numFmtId="0" fontId="8" fillId="2" borderId="7" xfId="0" applyFont="1" applyFill="1" applyBorder="1" applyAlignment="1">
      <alignment horizontal="center"/>
    </xf>
    <xf numFmtId="0" fontId="7" fillId="2" borderId="8" xfId="0" applyFont="1" applyFill="1" applyBorder="1" applyAlignment="1">
      <alignment horizontal="center"/>
    </xf>
    <xf numFmtId="0" fontId="10" fillId="0" borderId="6" xfId="0" applyFont="1" applyBorder="1"/>
    <xf numFmtId="0" fontId="11" fillId="2" borderId="7" xfId="0" applyFont="1" applyFill="1" applyBorder="1" applyAlignment="1">
      <alignment horizontal="center"/>
    </xf>
    <xf numFmtId="0" fontId="12" fillId="3" borderId="1" xfId="0" applyFont="1" applyFill="1" applyBorder="1"/>
    <xf numFmtId="0" fontId="12" fillId="0" borderId="5" xfId="0" applyFont="1" applyBorder="1"/>
    <xf numFmtId="0" fontId="12" fillId="3" borderId="5" xfId="0" applyFont="1" applyFill="1" applyBorder="1"/>
    <xf numFmtId="0" fontId="13" fillId="0" borderId="0" xfId="1" applyBorder="1"/>
    <xf numFmtId="0" fontId="9" fillId="0" borderId="0" xfId="0" applyFont="1"/>
    <xf numFmtId="0" fontId="0" fillId="5" borderId="9" xfId="0" applyFill="1" applyBorder="1"/>
    <xf numFmtId="0" fontId="0" fillId="0" borderId="9" xfId="0" applyBorder="1"/>
    <xf numFmtId="0" fontId="13" fillId="5" borderId="9" xfId="1" applyFill="1" applyBorder="1"/>
    <xf numFmtId="0" fontId="13" fillId="0" borderId="9" xfId="1" applyBorder="1"/>
    <xf numFmtId="0" fontId="14" fillId="4" borderId="10" xfId="0" applyFont="1" applyFill="1" applyBorder="1"/>
    <xf numFmtId="0" fontId="0" fillId="0" borderId="11" xfId="0" applyBorder="1"/>
    <xf numFmtId="0" fontId="13" fillId="0" borderId="11" xfId="1" applyBorder="1"/>
    <xf numFmtId="0" fontId="16" fillId="0" borderId="1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7" fillId="0" borderId="12" xfId="0" applyFont="1" applyBorder="1" applyAlignment="1">
      <alignment horizontal="center" vertical="center"/>
    </xf>
    <xf numFmtId="0" fontId="16" fillId="0" borderId="17" xfId="0" applyFont="1" applyBorder="1" applyAlignment="1">
      <alignment horizontal="center" vertical="center"/>
    </xf>
    <xf numFmtId="0" fontId="17" fillId="0" borderId="18" xfId="0" applyFont="1" applyBorder="1" applyAlignment="1">
      <alignment horizontal="center" vertical="center"/>
    </xf>
    <xf numFmtId="0" fontId="15" fillId="0" borderId="16" xfId="0" applyFont="1" applyBorder="1" applyAlignment="1">
      <alignment horizontal="center" vertical="center"/>
    </xf>
    <xf numFmtId="0" fontId="15" fillId="0" borderId="19" xfId="0" applyFont="1" applyBorder="1" applyAlignment="1">
      <alignment horizontal="center" vertical="center"/>
    </xf>
    <xf numFmtId="0" fontId="15" fillId="0" borderId="15" xfId="0" applyFont="1" applyBorder="1"/>
    <xf numFmtId="0" fontId="16" fillId="0" borderId="14" xfId="0" applyFont="1" applyBorder="1" applyAlignment="1">
      <alignment horizontal="center" vertical="center"/>
    </xf>
    <xf numFmtId="0" fontId="17" fillId="0" borderId="20" xfId="0" applyFont="1" applyBorder="1" applyAlignment="1">
      <alignment horizontal="center" vertical="center"/>
    </xf>
    <xf numFmtId="0" fontId="17" fillId="0" borderId="13" xfId="0" applyFon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0" fontId="16" fillId="0" borderId="20" xfId="0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18" fillId="2" borderId="7" xfId="0" applyFont="1" applyFill="1" applyBorder="1" applyAlignment="1">
      <alignment horizontal="center"/>
    </xf>
    <xf numFmtId="0" fontId="12" fillId="0" borderId="0" xfId="0" applyFont="1"/>
    <xf numFmtId="0" fontId="11" fillId="2" borderId="0" xfId="0" applyFont="1" applyFill="1" applyAlignment="1">
      <alignment horizontal="center"/>
    </xf>
    <xf numFmtId="0" fontId="0" fillId="0" borderId="14" xfId="0" applyBorder="1"/>
    <xf numFmtId="0" fontId="0" fillId="0" borderId="17" xfId="0" applyBorder="1"/>
    <xf numFmtId="0" fontId="3" fillId="0" borderId="12" xfId="0" applyFon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165" fontId="0" fillId="0" borderId="18" xfId="0" applyNumberForma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9" fontId="0" fillId="0" borderId="12" xfId="0" applyNumberFormat="1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2" fillId="0" borderId="0" xfId="0" applyFont="1"/>
    <xf numFmtId="0" fontId="0" fillId="0" borderId="12" xfId="0" applyBorder="1"/>
    <xf numFmtId="0" fontId="9" fillId="0" borderId="16" xfId="0" applyFont="1" applyBorder="1" applyAlignment="1">
      <alignment horizontal="center"/>
    </xf>
    <xf numFmtId="0" fontId="9" fillId="0" borderId="19" xfId="0" applyFont="1" applyBorder="1" applyAlignment="1">
      <alignment horizontal="center"/>
    </xf>
    <xf numFmtId="0" fontId="0" fillId="0" borderId="20" xfId="0" applyBorder="1"/>
    <xf numFmtId="3" fontId="2" fillId="0" borderId="18" xfId="0" applyNumberFormat="1" applyFont="1" applyBorder="1" applyAlignment="1">
      <alignment horizontal="right"/>
    </xf>
    <xf numFmtId="3" fontId="0" fillId="0" borderId="18" xfId="0" applyNumberFormat="1" applyBorder="1" applyAlignment="1">
      <alignment horizontal="right"/>
    </xf>
    <xf numFmtId="0" fontId="0" fillId="0" borderId="18" xfId="0" applyBorder="1" applyAlignment="1">
      <alignment horizontal="right"/>
    </xf>
    <xf numFmtId="0" fontId="9" fillId="0" borderId="15" xfId="0" applyFont="1" applyBorder="1" applyAlignment="1">
      <alignment horizontal="center"/>
    </xf>
    <xf numFmtId="3" fontId="0" fillId="0" borderId="13" xfId="0" applyNumberFormat="1" applyBorder="1" applyAlignment="1">
      <alignment horizontal="right"/>
    </xf>
    <xf numFmtId="0" fontId="21" fillId="7" borderId="17" xfId="0" applyFont="1" applyFill="1" applyBorder="1" applyAlignment="1">
      <alignment vertical="top" wrapText="1" indent="1"/>
    </xf>
    <xf numFmtId="0" fontId="21" fillId="7" borderId="18" xfId="0" applyFont="1" applyFill="1" applyBorder="1" applyAlignment="1">
      <alignment vertical="top" wrapText="1" indent="1"/>
    </xf>
    <xf numFmtId="0" fontId="20" fillId="6" borderId="16" xfId="0" applyFont="1" applyFill="1" applyBorder="1" applyAlignment="1">
      <alignment horizontal="left" vertical="center" wrapText="1"/>
    </xf>
    <xf numFmtId="0" fontId="20" fillId="6" borderId="15" xfId="0" applyFont="1" applyFill="1" applyBorder="1" applyAlignment="1">
      <alignment horizontal="left" vertical="center" wrapText="1"/>
    </xf>
    <xf numFmtId="0" fontId="21" fillId="7" borderId="14" xfId="0" applyFont="1" applyFill="1" applyBorder="1" applyAlignment="1">
      <alignment vertical="top" wrapText="1" indent="1"/>
    </xf>
    <xf numFmtId="0" fontId="21" fillId="7" borderId="13" xfId="0" applyFont="1" applyFill="1" applyBorder="1" applyAlignment="1">
      <alignment vertical="top" wrapText="1" indent="1"/>
    </xf>
    <xf numFmtId="0" fontId="4" fillId="0" borderId="21" xfId="0" applyFont="1" applyBorder="1"/>
    <xf numFmtId="0" fontId="19" fillId="0" borderId="26" xfId="0" applyFont="1" applyBorder="1" applyAlignment="1">
      <alignment horizontal="center" vertical="center"/>
    </xf>
    <xf numFmtId="0" fontId="0" fillId="0" borderId="21" xfId="0" applyBorder="1" applyAlignment="1">
      <alignment vertical="center" wrapText="1"/>
    </xf>
    <xf numFmtId="0" fontId="24" fillId="10" borderId="30" xfId="4" applyBorder="1"/>
    <xf numFmtId="0" fontId="24" fillId="10" borderId="21" xfId="4" applyBorder="1"/>
    <xf numFmtId="0" fontId="1" fillId="13" borderId="22" xfId="7" applyBorder="1"/>
    <xf numFmtId="0" fontId="1" fillId="13" borderId="23" xfId="7" applyBorder="1"/>
    <xf numFmtId="0" fontId="24" fillId="14" borderId="22" xfId="8" applyBorder="1"/>
    <xf numFmtId="0" fontId="24" fillId="14" borderId="23" xfId="8" applyBorder="1"/>
    <xf numFmtId="0" fontId="24" fillId="16" borderId="24" xfId="10" applyBorder="1"/>
    <xf numFmtId="0" fontId="24" fillId="16" borderId="25" xfId="10" applyBorder="1"/>
    <xf numFmtId="0" fontId="1" fillId="11" borderId="22" xfId="5" applyBorder="1"/>
    <xf numFmtId="166" fontId="1" fillId="11" borderId="23" xfId="5" applyNumberFormat="1" applyBorder="1"/>
    <xf numFmtId="0" fontId="1" fillId="11" borderId="24" xfId="5" applyBorder="1"/>
    <xf numFmtId="166" fontId="1" fillId="11" borderId="25" xfId="5" applyNumberFormat="1" applyBorder="1"/>
    <xf numFmtId="0" fontId="1" fillId="11" borderId="23" xfId="5" applyBorder="1"/>
    <xf numFmtId="166" fontId="1" fillId="11" borderId="25" xfId="5" applyNumberFormat="1" applyBorder="1" applyAlignment="1">
      <alignment vertical="center" wrapText="1"/>
    </xf>
    <xf numFmtId="0" fontId="1" fillId="11" borderId="24" xfId="5" applyBorder="1" applyAlignment="1">
      <alignment horizontal="center" vertical="center"/>
    </xf>
    <xf numFmtId="0" fontId="1" fillId="11" borderId="25" xfId="5" applyBorder="1"/>
    <xf numFmtId="0" fontId="1" fillId="11" borderId="27" xfId="5" applyBorder="1"/>
    <xf numFmtId="0" fontId="1" fillId="11" borderId="28" xfId="5" applyBorder="1"/>
    <xf numFmtId="0" fontId="10" fillId="17" borderId="26" xfId="0" applyFont="1" applyFill="1" applyBorder="1"/>
    <xf numFmtId="0" fontId="10" fillId="17" borderId="31" xfId="0" applyFont="1" applyFill="1" applyBorder="1"/>
    <xf numFmtId="0" fontId="1" fillId="15" borderId="30" xfId="9" applyBorder="1"/>
    <xf numFmtId="0" fontId="1" fillId="15" borderId="21" xfId="9" applyBorder="1"/>
    <xf numFmtId="0" fontId="1" fillId="15" borderId="22" xfId="9" applyBorder="1"/>
    <xf numFmtId="0" fontId="1" fillId="15" borderId="23" xfId="9" applyBorder="1"/>
    <xf numFmtId="0" fontId="1" fillId="15" borderId="24" xfId="9" applyBorder="1"/>
    <xf numFmtId="0" fontId="1" fillId="15" borderId="25" xfId="9" applyBorder="1"/>
    <xf numFmtId="0" fontId="1" fillId="12" borderId="27" xfId="6" applyBorder="1"/>
    <xf numFmtId="0" fontId="1" fillId="12" borderId="28" xfId="6" applyBorder="1"/>
    <xf numFmtId="2" fontId="1" fillId="11" borderId="28" xfId="5" applyNumberFormat="1" applyBorder="1"/>
    <xf numFmtId="0" fontId="19" fillId="9" borderId="26" xfId="3" applyFont="1" applyBorder="1" applyAlignment="1">
      <alignment horizontal="center"/>
    </xf>
    <xf numFmtId="0" fontId="19" fillId="9" borderId="26" xfId="3" applyFont="1" applyBorder="1" applyAlignment="1">
      <alignment horizontal="center" vertical="center"/>
    </xf>
    <xf numFmtId="0" fontId="23" fillId="8" borderId="27" xfId="2" applyBorder="1"/>
    <xf numFmtId="0" fontId="23" fillId="8" borderId="28" xfId="2" applyBorder="1"/>
  </cellXfs>
  <cellStyles count="11">
    <cellStyle name="20% - Accent2" xfId="5" builtinId="34"/>
    <cellStyle name="20% - Accent3" xfId="6" builtinId="38"/>
    <cellStyle name="20% - Accent4" xfId="9" builtinId="42"/>
    <cellStyle name="60% - Accent3" xfId="7" builtinId="40"/>
    <cellStyle name="Accent2" xfId="4" builtinId="33"/>
    <cellStyle name="Accent4" xfId="8" builtinId="41"/>
    <cellStyle name="Accent5" xfId="10" builtinId="45"/>
    <cellStyle name="Good" xfId="2" builtinId="26"/>
    <cellStyle name="Hyperlink" xfId="1" builtinId="8"/>
    <cellStyle name="Normal" xfId="0" builtinId="0"/>
    <cellStyle name="Note" xfId="3" builtinId="10"/>
  </cellStyles>
  <dxfs count="5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12529"/>
        <name val="Segoe UI"/>
        <family val="2"/>
        <scheme val="none"/>
      </font>
      <fill>
        <patternFill patternType="solid">
          <fgColor indexed="64"/>
          <bgColor rgb="FFF4F4F4"/>
        </patternFill>
      </fill>
      <alignment horizontal="general" vertical="top" textRotation="0" wrapText="1" indent="1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12529"/>
        <name val="Segoe UI"/>
        <family val="2"/>
        <scheme val="none"/>
      </font>
      <fill>
        <patternFill patternType="solid">
          <fgColor indexed="64"/>
          <bgColor rgb="FFF4F4F4"/>
        </patternFill>
      </fill>
      <alignment horizontal="general" vertical="top" textRotation="0" wrapText="1" indent="1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.3"/>
        <color rgb="FF333333"/>
        <name val="Segoe UI"/>
        <family val="2"/>
        <scheme val="none"/>
      </font>
      <fill>
        <patternFill patternType="solid">
          <fgColor indexed="64"/>
          <bgColor rgb="FFD8D8D8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3" formatCode="#,##0"/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outline="0">
        <top style="thin">
          <color theme="5" tint="0.39997558519241921"/>
        </top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 outline="0">
        <bottom style="thin">
          <color theme="5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5"/>
          <bgColor theme="5"/>
        </patternFill>
      </fill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 style="thin">
          <color theme="1"/>
        </right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 style="thin">
          <color theme="1"/>
        </left>
        <right/>
        <top style="thin">
          <color theme="1"/>
        </top>
        <bottom/>
        <vertical/>
        <horizontal/>
      </border>
    </dxf>
    <dxf>
      <border outline="0">
        <top style="thin">
          <color rgb="FF000000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Narrow"/>
        <scheme val="none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E78581-CDEC-49EE-B8DC-A227C0757631}" name="Dmart_sales_data" displayName="Dmart_sales_data" ref="A1:Q499" totalsRowShown="0" headerRowDxfId="57" dataDxfId="56" tableBorderDxfId="55">
  <autoFilter ref="A1:Q499" xr:uid="{D1E78581-CDEC-49EE-B8DC-A227C0757631}"/>
  <tableColumns count="17">
    <tableColumn id="1" xr3:uid="{8B304A60-B8C9-4979-B67B-B25A9B864B72}" name="Column1" dataDxfId="54"/>
    <tableColumn id="2" xr3:uid="{2D3F64D4-436B-4836-A733-3255B375685E}" name="Region" dataDxfId="53"/>
    <tableColumn id="15" xr3:uid="{8F8F9EC8-B524-4266-87C9-B369FF884963}" name="Updated region" dataDxfId="52"/>
    <tableColumn id="3" xr3:uid="{E344FBA1-63F8-453C-BAB0-8696D5C5ADFA}" name="Category" dataDxfId="51"/>
    <tableColumn id="4" xr3:uid="{EEDFF6A6-A6B8-4584-81CC-3FEFDA60E218}" name="sales" dataDxfId="50"/>
    <tableColumn id="17" xr3:uid="{0FE78A95-ABA3-4420-9862-389F567677F4}" name="Sales_Range" dataDxfId="49">
      <calculatedColumnFormula>IF(Dmart_sales_data[[#This Row],[sales]]&gt;3000,"High Sales",IF(Dmart_sales_data[[#This Row],[sales]]&gt;1000,"Medium Sales","Low Sales"))</calculatedColumnFormula>
    </tableColumn>
    <tableColumn id="5" xr3:uid="{B480F4CD-1259-4AB9-84E7-ADE183D66042}" name="discount" dataDxfId="48"/>
    <tableColumn id="6" xr3:uid="{031D638C-25E8-4D1B-BC09-4AA98712CA5F}" name="quantity" dataDxfId="47"/>
    <tableColumn id="7" xr3:uid="{6F6EB0D8-424B-4AC8-81C9-7C00315E2B39}" name="order_date" dataDxfId="46"/>
    <tableColumn id="8" xr3:uid="{0655DCF6-A9AE-4DBC-8BCD-0DDB91A76E3F}" name="delivery_date" dataDxfId="45"/>
    <tableColumn id="9" xr3:uid="{4A08809E-03F7-4D5D-91CC-E0D9BC4E6CCD}" name="customer_type" dataDxfId="44"/>
    <tableColumn id="10" xr3:uid="{1B22ACAF-6F45-4EF9-BD4D-3882847DEADD}" name="customer_type2" dataDxfId="43"/>
    <tableColumn id="11" xr3:uid="{1AAA8999-D7A1-4DB5-B4DA-131DA9CFBC1D}" name="payment_mode" dataDxfId="42"/>
    <tableColumn id="12" xr3:uid="{47AC25B1-7621-493D-B41B-C4A660573B07}" name="profit" dataDxfId="41"/>
    <tableColumn id="14" xr3:uid="{285DAA76-019F-4DAE-9C58-731537A4E5A8}" name="Updated_City" dataDxfId="40"/>
    <tableColumn id="13" xr3:uid="{B1583274-EA92-4587-97FE-7E9FCE51D726}" name="city" dataDxfId="39"/>
    <tableColumn id="18" xr3:uid="{740C088C-8609-4AAD-81B8-DF0D9B02079A}" name="Discount or Not" dataDxfId="38">
      <calculatedColumnFormula>IF(AND(Dmart_sales_data[[#This Row],[customer_type2]]="Member",OR(Dmart_sales_data[[#This Row],[payment_mode]]="UPI",Dmart_sales_data[[#This Row],[payment_mode]]="Card")),"yes","No")</calculatedColumnFormula>
    </tableColumn>
  </tableColumns>
  <tableStyleInfo name="TableStyleLight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A6E07FC-F19B-467B-A96D-152F49BC9C39}" name="Table3" displayName="Table3" ref="A1:G5" totalsRowShown="0" headerRowDxfId="37" tableBorderDxfId="36">
  <autoFilter ref="A1:G5" xr:uid="{0A6E07FC-F19B-467B-A96D-152F49BC9C39}"/>
  <tableColumns count="7">
    <tableColumn id="1" xr3:uid="{C83CD628-8037-4113-B34D-19B4409139C8}" name="First_Name"/>
    <tableColumn id="2" xr3:uid="{E59D19F9-AFD0-40B2-928B-CD81CB01B053}" name="Last_Name"/>
    <tableColumn id="3" xr3:uid="{60D4D30D-0205-42D6-B85C-28F26CDE3BFF}" name="Full_Name"/>
    <tableColumn id="4" xr3:uid="{C5A98985-CFA9-4522-B19E-A687B8605625}" name="email" dataCellStyle="Hyperlink"/>
    <tableColumn id="5" xr3:uid="{ED82F62D-56F0-4103-BEB9-C3C7B9217D4A}" name="usernames"/>
    <tableColumn id="6" xr3:uid="{DD8C587E-E57C-4669-94AE-60CBC8BF0C1F}" name="Contact_No"/>
    <tableColumn id="7" xr3:uid="{8B618C92-38F4-490F-B3B3-79AF23097DD0}" name="10Digit_no"/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91FFA04-0D55-47FF-B03F-46AEB7B93CCC}" name="Table1" displayName="Table1" ref="E7:M11" totalsRowShown="0" headerRowDxfId="35" headerRowBorderDxfId="34" tableBorderDxfId="33" totalsRowBorderDxfId="32">
  <autoFilter ref="E7:M11" xr:uid="{591FFA04-0D55-47FF-B03F-46AEB7B93CCC}"/>
  <tableColumns count="9">
    <tableColumn id="1" xr3:uid="{7A511605-F386-44F8-8EA9-21F82B34DE6B}" name="First_Name"/>
    <tableColumn id="2" xr3:uid="{E552F156-2AD3-4A2A-A727-178B5E3E01BD}" name="Last_Name"/>
    <tableColumn id="3" xr3:uid="{4D5F7927-934E-4493-9A7B-53019E65BD03}" name="Full_Name"/>
    <tableColumn id="4" xr3:uid="{08096402-AD99-4326-8ED2-9DBA430F35BF}" name="email"/>
    <tableColumn id="5" xr3:uid="{A4AE2F81-EAA5-4C19-918F-47958DBE8FFB}" name="usernames"/>
    <tableColumn id="6" xr3:uid="{58D81879-D98C-46CA-B48F-8BD8FB33D920}" name="Contact_No"/>
    <tableColumn id="7" xr3:uid="{7011B005-EB71-4808-A380-53EAAADF0142}" name="10Digit_no"/>
    <tableColumn id="8" xr3:uid="{C0774D2A-F316-48BE-A8C5-4E4D0F9E160A}" name="First two _no"/>
    <tableColumn id="9" xr3:uid="{6EEC58A6-07A6-4350-ACA8-25F676B25EB5}" name="first_three no"/>
  </tableColumns>
  <tableStyleInfo name="TableStyleMedium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4582CC2-34E1-4108-B90B-B0A79AC476DF}" name="Table4" displayName="Table4" ref="H18:J23" totalsRowShown="0" headerRowBorderDxfId="31" tableBorderDxfId="30" totalsRowBorderDxfId="29">
  <autoFilter ref="H18:J23" xr:uid="{C4582CC2-34E1-4108-B90B-B0A79AC476DF}"/>
  <tableColumns count="3">
    <tableColumn id="1" xr3:uid="{2E1B0446-2B2E-4C3D-A1EE-391AF9212486}" name="Name " dataDxfId="28"/>
    <tableColumn id="2" xr3:uid="{19AB838D-F57F-4448-AE00-5E4AA9FB304C}" name="Salary" dataDxfId="27"/>
    <tableColumn id="3" xr3:uid="{B096BCFB-275E-45AA-A72E-D0C36078B65E}" name="Bonus" dataDxfId="26"/>
  </tableColumns>
  <tableStyleInfo name="TableStyleLight2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DE8ED26-A613-4F4E-A465-CC70B9528A2A}" name="Table5" displayName="Table5" ref="H8:J13" totalsRowShown="0" headerRowDxfId="25" headerRowBorderDxfId="24" tableBorderDxfId="23" totalsRowBorderDxfId="22">
  <autoFilter ref="H8:J13" xr:uid="{EDE8ED26-A613-4F4E-A465-CC70B9528A2A}"/>
  <tableColumns count="3">
    <tableColumn id="1" xr3:uid="{CFB5A7CD-331C-4C43-96A8-0EF34910777D}" name="Name " dataDxfId="21"/>
    <tableColumn id="2" xr3:uid="{CB401229-AA4D-4F02-997A-EECEC42124A1}" name="Marks" dataDxfId="20"/>
    <tableColumn id="3" xr3:uid="{032BA486-4C96-46E4-9FCC-835E6841B1B4}" name="Grade" dataDxfId="19">
      <calculatedColumnFormula>IF(I9&gt;=90,"A++",IF(I9&gt;75,"A+",IF(I9&gt;60,"A",IF(I9&gt;40,"B","Fail"))))</calculatedColumnFormula>
    </tableColumn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A0C1234-3244-41FE-AADF-1A185E3361D9}" name="Table6" displayName="Table6" ref="P17:R22" totalsRowShown="0" headerRowDxfId="18" headerRowBorderDxfId="17" tableBorderDxfId="16" totalsRowBorderDxfId="15">
  <autoFilter ref="P17:R22" xr:uid="{1A0C1234-3244-41FE-AADF-1A185E3361D9}"/>
  <tableColumns count="3">
    <tableColumn id="1" xr3:uid="{B127EBF8-5637-44F7-83D3-381997DBE027}" name="Number 1" dataDxfId="14"/>
    <tableColumn id="2" xr3:uid="{C43106B6-1733-443D-94FA-BECDAC1C755A}" name="Number 2" dataDxfId="13"/>
    <tableColumn id="3" xr3:uid="{F76B590F-EE8E-45BA-9CE4-30BC585483D7}" name="Division" dataDxfId="12">
      <calculatedColumnFormula>IFERROR(P18/Q18,"Cannot Devide by Zero")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CE1BBE-C5AD-43B2-961F-3CA9A2EB2A9F}" name="Table8" displayName="Table8" ref="B3:D9" totalsRowShown="0" headerRowBorderDxfId="11" tableBorderDxfId="10" totalsRowBorderDxfId="9">
  <autoFilter ref="B3:D9" xr:uid="{DACE1BBE-C5AD-43B2-961F-3CA9A2EB2A9F}"/>
  <tableColumns count="3">
    <tableColumn id="1" xr3:uid="{01EE2967-652D-4F72-8D82-47940A310F22}" name="Category" dataDxfId="8"/>
    <tableColumn id="2" xr3:uid="{83D94CD6-8657-4942-BDBA-E7199934938C}" name="Food" dataDxfId="7"/>
    <tableColumn id="3" xr3:uid="{84FFB931-E43C-401F-A346-99CA6CFFFDBA}" name="Sales" dataDxfId="6"/>
  </tableColumns>
  <tableStyleInfo name="TableStyleLight18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282ED5D-22A6-415A-A10A-2B4A8091F761}" name="Table7" displayName="Table7" ref="B16:C20" totalsRowShown="0" headerRowDxfId="5" headerRowBorderDxfId="4" tableBorderDxfId="3" totalsRowBorderDxfId="2">
  <autoFilter ref="B16:C20" xr:uid="{D282ED5D-22A6-415A-A10A-2B4A8091F761}"/>
  <tableColumns count="2">
    <tableColumn id="1" xr3:uid="{0063F624-5548-4FC5-A9F7-B87EB616BE8D}" name="Data" dataDxfId="1"/>
    <tableColumn id="2" xr3:uid="{ACA1AE24-A257-4956-B7F8-372ACF52726B}" name="Data2" dataDxfId="0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sachin@gmail.com" TargetMode="External"/><Relationship Id="rId2" Type="http://schemas.openxmlformats.org/officeDocument/2006/relationships/hyperlink" Target="mailto:rohit@gmail.com" TargetMode="External"/><Relationship Id="rId1" Type="http://schemas.openxmlformats.org/officeDocument/2006/relationships/hyperlink" Target="mailto:virat@gmail.com" TargetMode="External"/><Relationship Id="rId5" Type="http://schemas.openxmlformats.org/officeDocument/2006/relationships/table" Target="../tables/table2.xml"/><Relationship Id="rId4" Type="http://schemas.openxmlformats.org/officeDocument/2006/relationships/hyperlink" Target="mailto:sanju@gmail.com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mailto:sachin@gmail.com" TargetMode="External"/><Relationship Id="rId2" Type="http://schemas.openxmlformats.org/officeDocument/2006/relationships/hyperlink" Target="mailto:rohit@gmail.com" TargetMode="External"/><Relationship Id="rId1" Type="http://schemas.openxmlformats.org/officeDocument/2006/relationships/hyperlink" Target="mailto:virat@gmail.com" TargetMode="External"/><Relationship Id="rId5" Type="http://schemas.openxmlformats.org/officeDocument/2006/relationships/table" Target="../tables/table3.xml"/><Relationship Id="rId4" Type="http://schemas.openxmlformats.org/officeDocument/2006/relationships/hyperlink" Target="mailto:sanju@gmail.com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00"/>
  <sheetViews>
    <sheetView tabSelected="1" topLeftCell="Q14" zoomScale="99" zoomScaleNormal="99" workbookViewId="0">
      <selection activeCell="T27" sqref="T27"/>
    </sheetView>
  </sheetViews>
  <sheetFormatPr defaultColWidth="12.6640625" defaultRowHeight="15" customHeight="1" x14ac:dyDescent="0.3"/>
  <cols>
    <col min="1" max="1" width="10.6640625" customWidth="1"/>
    <col min="2" max="3" width="11.44140625" customWidth="1"/>
    <col min="4" max="4" width="12.77734375" bestFit="1" customWidth="1"/>
    <col min="5" max="5" width="10.21875" bestFit="1" customWidth="1"/>
    <col min="6" max="6" width="16.21875" bestFit="1" customWidth="1"/>
    <col min="7" max="7" width="12.21875" bestFit="1" customWidth="1"/>
    <col min="8" max="8" width="11.44140625" customWidth="1"/>
    <col min="9" max="9" width="13.5546875" customWidth="1"/>
    <col min="10" max="10" width="14.6640625" customWidth="1"/>
    <col min="11" max="11" width="15.6640625" customWidth="1"/>
    <col min="12" max="12" width="15.109375" customWidth="1"/>
    <col min="13" max="13" width="23.5546875" bestFit="1" customWidth="1"/>
    <col min="14" max="14" width="11.33203125" customWidth="1"/>
    <col min="15" max="15" width="21.109375" bestFit="1" customWidth="1"/>
    <col min="16" max="16" width="15" customWidth="1"/>
    <col min="17" max="17" width="23.21875" bestFit="1" customWidth="1"/>
    <col min="18" max="18" width="8.6640625" customWidth="1"/>
    <col min="19" max="19" width="68.88671875" bestFit="1" customWidth="1"/>
    <col min="20" max="20" width="15.88671875" customWidth="1"/>
    <col min="21" max="21" width="8.6640625" customWidth="1"/>
    <col min="22" max="22" width="21.5546875" bestFit="1" customWidth="1"/>
    <col min="23" max="23" width="10.44140625" bestFit="1" customWidth="1"/>
    <col min="24" max="26" width="8.6640625" customWidth="1"/>
  </cols>
  <sheetData>
    <row r="1" spans="1:28" ht="14.25" customHeight="1" x14ac:dyDescent="0.3">
      <c r="A1" s="20" t="s">
        <v>0</v>
      </c>
      <c r="B1" s="21" t="s">
        <v>1</v>
      </c>
      <c r="C1" s="21" t="s">
        <v>577</v>
      </c>
      <c r="D1" s="21" t="s">
        <v>2</v>
      </c>
      <c r="E1" s="21" t="s">
        <v>3</v>
      </c>
      <c r="F1" s="54" t="s">
        <v>610</v>
      </c>
      <c r="G1" s="22" t="s">
        <v>4</v>
      </c>
      <c r="H1" s="22" t="s">
        <v>5</v>
      </c>
      <c r="I1" s="22" t="s">
        <v>6</v>
      </c>
      <c r="J1" s="22" t="s">
        <v>7</v>
      </c>
      <c r="K1" s="22" t="s">
        <v>8</v>
      </c>
      <c r="L1" s="22" t="s">
        <v>542</v>
      </c>
      <c r="M1" s="22" t="s">
        <v>9</v>
      </c>
      <c r="N1" s="22" t="s">
        <v>10</v>
      </c>
      <c r="O1" s="25" t="s">
        <v>544</v>
      </c>
      <c r="P1" s="23" t="s">
        <v>11</v>
      </c>
      <c r="Q1" s="56" t="s">
        <v>611</v>
      </c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8" ht="14.25" customHeight="1" x14ac:dyDescent="0.3">
      <c r="A2" s="3" t="s">
        <v>12</v>
      </c>
      <c r="B2" s="4" t="s">
        <v>13</v>
      </c>
      <c r="C2" s="4" t="s">
        <v>13</v>
      </c>
      <c r="D2" s="5" t="s">
        <v>14</v>
      </c>
      <c r="E2" s="5">
        <v>713.49</v>
      </c>
      <c r="F2" s="5" t="str">
        <f>IF(Dmart_sales_data[[#This Row],[sales]]&gt;3000,"High Sales",IF(Dmart_sales_data[[#This Row],[sales]]&gt;1000,"Medium Sales","Low Sales"))</f>
        <v>Low Sales</v>
      </c>
      <c r="G2" s="5">
        <v>0.31</v>
      </c>
      <c r="H2" s="5">
        <v>3</v>
      </c>
      <c r="I2" s="6">
        <v>45015</v>
      </c>
      <c r="J2" s="6">
        <v>45017</v>
      </c>
      <c r="K2" s="5" t="s">
        <v>15</v>
      </c>
      <c r="L2" s="5" t="s">
        <v>15</v>
      </c>
      <c r="M2" s="5" t="s">
        <v>16</v>
      </c>
      <c r="N2" s="5">
        <v>114.72</v>
      </c>
      <c r="O2" s="26" t="s">
        <v>17</v>
      </c>
      <c r="P2" s="7" t="s">
        <v>17</v>
      </c>
      <c r="Q2" s="55" t="str">
        <f>IF(AND(Dmart_sales_data[[#This Row],[customer_type2]]="Member",OR(Dmart_sales_data[[#This Row],[payment_mode]]="UPI",Dmart_sales_data[[#This Row],[payment_mode]]="Card")),"yes","No")</f>
        <v>yes</v>
      </c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28" ht="14.25" customHeight="1" x14ac:dyDescent="0.3">
      <c r="A3" s="8" t="s">
        <v>18</v>
      </c>
      <c r="B3" s="9" t="s">
        <v>576</v>
      </c>
      <c r="C3" s="9" t="s">
        <v>576</v>
      </c>
      <c r="D3" s="10" t="s">
        <v>19</v>
      </c>
      <c r="E3" s="10">
        <v>3802.97</v>
      </c>
      <c r="F3" s="5" t="str">
        <f>IF(Dmart_sales_data[[#This Row],[sales]]&gt;3000,"High Sales",IF(Dmart_sales_data[[#This Row],[sales]]&gt;1000,"Medium Sales","Low Sales"))</f>
        <v>High Sales</v>
      </c>
      <c r="G3" s="10">
        <v>0.38</v>
      </c>
      <c r="H3" s="10">
        <v>4</v>
      </c>
      <c r="I3" s="11">
        <v>45166</v>
      </c>
      <c r="J3" s="11">
        <v>45172</v>
      </c>
      <c r="K3" s="10" t="s">
        <v>20</v>
      </c>
      <c r="L3" s="10" t="s">
        <v>20</v>
      </c>
      <c r="M3" s="10" t="s">
        <v>21</v>
      </c>
      <c r="N3" s="10">
        <v>971.41</v>
      </c>
      <c r="O3" s="27" t="s">
        <v>79</v>
      </c>
      <c r="P3" s="12" t="s">
        <v>22</v>
      </c>
      <c r="Q3" s="55" t="str">
        <f>IF(AND(Dmart_sales_data[[#This Row],[customer_type2]]="Member",OR(Dmart_sales_data[[#This Row],[payment_mode]]="UPI",Dmart_sales_data[[#This Row],[payment_mode]]="Card")),"yes","No")</f>
        <v>No</v>
      </c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28" ht="14.25" customHeight="1" thickBot="1" x14ac:dyDescent="0.35">
      <c r="A4" s="13" t="s">
        <v>23</v>
      </c>
      <c r="B4" s="14" t="s">
        <v>24</v>
      </c>
      <c r="C4" s="14" t="s">
        <v>24</v>
      </c>
      <c r="D4" s="15" t="s">
        <v>25</v>
      </c>
      <c r="E4" s="15">
        <v>3588.97</v>
      </c>
      <c r="F4" s="5" t="str">
        <f>IF(Dmart_sales_data[[#This Row],[sales]]&gt;3000,"High Sales",IF(Dmart_sales_data[[#This Row],[sales]]&gt;1000,"Medium Sales","Low Sales"))</f>
        <v>High Sales</v>
      </c>
      <c r="G4" s="15">
        <v>0.1</v>
      </c>
      <c r="H4" s="15">
        <v>7</v>
      </c>
      <c r="I4" s="16">
        <v>45360</v>
      </c>
      <c r="J4" s="16">
        <v>45366</v>
      </c>
      <c r="K4" s="15" t="s">
        <v>20</v>
      </c>
      <c r="L4" s="15" t="s">
        <v>20</v>
      </c>
      <c r="M4" s="15" t="s">
        <v>26</v>
      </c>
      <c r="N4" s="15">
        <v>769.08</v>
      </c>
      <c r="O4" s="28" t="s">
        <v>27</v>
      </c>
      <c r="P4" s="17" t="s">
        <v>27</v>
      </c>
      <c r="Q4" s="55" t="str">
        <f>IF(AND(Dmart_sales_data[[#This Row],[customer_type2]]="Member",OR(Dmart_sales_data[[#This Row],[payment_mode]]="UPI",Dmart_sales_data[[#This Row],[payment_mode]]="Card")),"yes","No")</f>
        <v>No</v>
      </c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  <row r="5" spans="1:28" ht="14.25" customHeight="1" thickBot="1" x14ac:dyDescent="0.35">
      <c r="A5" s="8" t="s">
        <v>28</v>
      </c>
      <c r="B5" s="9" t="s">
        <v>29</v>
      </c>
      <c r="C5" s="9" t="s">
        <v>29</v>
      </c>
      <c r="D5" s="10" t="s">
        <v>19</v>
      </c>
      <c r="E5" s="10">
        <v>1160.8599999999999</v>
      </c>
      <c r="F5" s="5" t="str">
        <f>IF(Dmart_sales_data[[#This Row],[sales]]&gt;3000,"High Sales",IF(Dmart_sales_data[[#This Row],[sales]]&gt;1000,"Medium Sales","Low Sales"))</f>
        <v>Medium Sales</v>
      </c>
      <c r="G5" s="10">
        <v>0.27</v>
      </c>
      <c r="H5" s="10">
        <v>5</v>
      </c>
      <c r="I5" s="11">
        <v>45578</v>
      </c>
      <c r="J5" s="11">
        <v>45584</v>
      </c>
      <c r="K5" s="10" t="s">
        <v>15</v>
      </c>
      <c r="L5" s="10" t="s">
        <v>15</v>
      </c>
      <c r="M5" s="10" t="s">
        <v>16</v>
      </c>
      <c r="N5" s="10">
        <v>71.61</v>
      </c>
      <c r="O5" s="27" t="s">
        <v>35</v>
      </c>
      <c r="P5" s="18" t="s">
        <v>30</v>
      </c>
      <c r="Q5" s="55" t="str">
        <f>IF(AND(Dmart_sales_data[[#This Row],[customer_type2]]="Member",OR(Dmart_sales_data[[#This Row],[payment_mode]]="UPI",Dmart_sales_data[[#This Row],[payment_mode]]="Card")),"yes","No")</f>
        <v>yes</v>
      </c>
      <c r="R5" s="1"/>
      <c r="S5" s="118" t="s">
        <v>629</v>
      </c>
      <c r="T5" s="86"/>
      <c r="U5" s="1"/>
      <c r="V5" s="107" t="s">
        <v>658</v>
      </c>
      <c r="W5" s="1"/>
      <c r="X5" s="1"/>
      <c r="Y5" s="1"/>
      <c r="Z5" s="1"/>
      <c r="AA5" s="1"/>
      <c r="AB5" s="1"/>
    </row>
    <row r="6" spans="1:28" ht="14.25" customHeight="1" x14ac:dyDescent="0.3">
      <c r="A6" s="13" t="s">
        <v>31</v>
      </c>
      <c r="B6" s="14" t="s">
        <v>13</v>
      </c>
      <c r="C6" s="4" t="s">
        <v>13</v>
      </c>
      <c r="D6" s="15" t="s">
        <v>19</v>
      </c>
      <c r="E6" s="15">
        <v>3071.32</v>
      </c>
      <c r="F6" s="5" t="str">
        <f>IF(Dmart_sales_data[[#This Row],[sales]]&gt;3000,"High Sales",IF(Dmart_sales_data[[#This Row],[sales]]&gt;1000,"Medium Sales","Low Sales"))</f>
        <v>High Sales</v>
      </c>
      <c r="G6" s="15">
        <v>0</v>
      </c>
      <c r="H6" s="15">
        <v>7</v>
      </c>
      <c r="I6" s="16">
        <v>45022</v>
      </c>
      <c r="J6" s="16">
        <v>45025</v>
      </c>
      <c r="K6" s="15" t="s">
        <v>32</v>
      </c>
      <c r="L6" s="15" t="s">
        <v>32</v>
      </c>
      <c r="M6" s="15" t="s">
        <v>26</v>
      </c>
      <c r="N6" s="15">
        <v>621.91999999999996</v>
      </c>
      <c r="O6" s="27" t="s">
        <v>17</v>
      </c>
      <c r="P6" s="17" t="s">
        <v>17</v>
      </c>
      <c r="Q6" s="55" t="str">
        <f>IF(AND(Dmart_sales_data[[#This Row],[customer_type2]]="Member",OR(Dmart_sales_data[[#This Row],[payment_mode]]="UPI",Dmart_sales_data[[#This Row],[payment_mode]]="Card")),"yes","No")</f>
        <v>No</v>
      </c>
      <c r="R6" s="1"/>
      <c r="S6" s="97" t="s">
        <v>613</v>
      </c>
      <c r="T6" s="98">
        <f>SUMIF(Dmart_sales_data[payment_mode],"=UPI",Dmart_sales_data[sales])</f>
        <v>386412.25</v>
      </c>
      <c r="U6" s="1"/>
      <c r="V6" s="89" t="s">
        <v>650</v>
      </c>
      <c r="W6" s="90" cm="1">
        <f t="array" ref="W6">SUMIF(Region,"=North",sales)</f>
        <v>334964.16000000003</v>
      </c>
      <c r="X6" s="1"/>
      <c r="Y6" s="1"/>
      <c r="Z6" s="1"/>
      <c r="AA6" s="1"/>
      <c r="AB6" s="1"/>
    </row>
    <row r="7" spans="1:28" ht="14.25" customHeight="1" x14ac:dyDescent="0.3">
      <c r="A7" s="8" t="s">
        <v>33</v>
      </c>
      <c r="B7" s="9" t="s">
        <v>576</v>
      </c>
      <c r="C7" s="9" t="s">
        <v>576</v>
      </c>
      <c r="D7" s="10" t="s">
        <v>34</v>
      </c>
      <c r="E7" s="10">
        <v>2566.1799999999998</v>
      </c>
      <c r="F7" s="5" t="str">
        <f>IF(Dmart_sales_data[[#This Row],[sales]]&gt;3000,"High Sales",IF(Dmart_sales_data[[#This Row],[sales]]&gt;1000,"Medium Sales","Low Sales"))</f>
        <v>Medium Sales</v>
      </c>
      <c r="G7" s="10">
        <v>0.02</v>
      </c>
      <c r="H7" s="10">
        <v>6</v>
      </c>
      <c r="I7" s="11">
        <v>45108</v>
      </c>
      <c r="J7" s="11">
        <v>45111</v>
      </c>
      <c r="K7" s="10" t="s">
        <v>15</v>
      </c>
      <c r="L7" s="10" t="s">
        <v>15</v>
      </c>
      <c r="M7" s="10" t="s">
        <v>16</v>
      </c>
      <c r="N7" s="10">
        <v>578.94000000000005</v>
      </c>
      <c r="O7" s="27" t="s">
        <v>35</v>
      </c>
      <c r="P7" s="12" t="s">
        <v>35</v>
      </c>
      <c r="Q7" s="55" t="str">
        <f>IF(AND(Dmart_sales_data[[#This Row],[customer_type2]]="Member",OR(Dmart_sales_data[[#This Row],[payment_mode]]="UPI",Dmart_sales_data[[#This Row],[payment_mode]]="Card")),"yes","No")</f>
        <v>yes</v>
      </c>
      <c r="R7" s="1"/>
      <c r="S7" s="97"/>
      <c r="T7" s="98"/>
      <c r="U7" s="1"/>
      <c r="V7" s="91" t="s">
        <v>651</v>
      </c>
      <c r="W7" s="92" cm="1">
        <f t="array" ref="W7">SUMIF(Region,"=South",sales)</f>
        <v>303623.68999999994</v>
      </c>
      <c r="X7" s="1"/>
      <c r="Y7" s="1"/>
      <c r="Z7" s="1"/>
      <c r="AA7" s="1"/>
      <c r="AB7" s="1"/>
    </row>
    <row r="8" spans="1:28" ht="14.25" customHeight="1" x14ac:dyDescent="0.3">
      <c r="A8" s="13" t="s">
        <v>36</v>
      </c>
      <c r="B8" s="14" t="s">
        <v>24</v>
      </c>
      <c r="C8" s="14" t="s">
        <v>24</v>
      </c>
      <c r="D8" s="15" t="s">
        <v>37</v>
      </c>
      <c r="E8" s="15">
        <v>398</v>
      </c>
      <c r="F8" s="5" t="str">
        <f>IF(Dmart_sales_data[[#This Row],[sales]]&gt;3000,"High Sales",IF(Dmart_sales_data[[#This Row],[sales]]&gt;1000,"Medium Sales","Low Sales"))</f>
        <v>Low Sales</v>
      </c>
      <c r="G8" s="15">
        <v>0.16</v>
      </c>
      <c r="H8" s="15">
        <v>4</v>
      </c>
      <c r="I8" s="16">
        <v>45119</v>
      </c>
      <c r="J8" s="16">
        <v>45124</v>
      </c>
      <c r="K8" s="15" t="s">
        <v>32</v>
      </c>
      <c r="L8" s="15" t="s">
        <v>32</v>
      </c>
      <c r="M8" s="15" t="s">
        <v>26</v>
      </c>
      <c r="N8" s="15">
        <v>110.31</v>
      </c>
      <c r="O8" s="27" t="s">
        <v>17</v>
      </c>
      <c r="P8" s="17" t="s">
        <v>17</v>
      </c>
      <c r="Q8" s="55" t="str">
        <f>IF(AND(Dmart_sales_data[[#This Row],[customer_type2]]="Member",OR(Dmart_sales_data[[#This Row],[payment_mode]]="UPI",Dmart_sales_data[[#This Row],[payment_mode]]="Card")),"yes","No")</f>
        <v>No</v>
      </c>
      <c r="R8" s="1"/>
      <c r="S8" s="97" t="s">
        <v>614</v>
      </c>
      <c r="T8" s="98">
        <f>SUMIF(Dmart_sales_data[payment_mode],"=Cash",Dmart_sales_data[sales])</f>
        <v>522964.3</v>
      </c>
      <c r="U8" s="1"/>
      <c r="V8" s="93" t="s">
        <v>652</v>
      </c>
      <c r="W8" s="94" cm="1">
        <f t="array" ref="W8">SUMIF(Region,"=East",sales)</f>
        <v>337881.26999999996</v>
      </c>
      <c r="X8" s="1"/>
      <c r="Y8" s="1"/>
      <c r="Z8" s="1"/>
      <c r="AA8" s="1"/>
      <c r="AB8" s="1"/>
    </row>
    <row r="9" spans="1:28" ht="14.25" customHeight="1" thickBot="1" x14ac:dyDescent="0.35">
      <c r="A9" s="8" t="s">
        <v>38</v>
      </c>
      <c r="B9" s="9" t="s">
        <v>29</v>
      </c>
      <c r="C9" s="9" t="s">
        <v>29</v>
      </c>
      <c r="D9" s="10" t="s">
        <v>37</v>
      </c>
      <c r="E9" s="10">
        <v>1462.95</v>
      </c>
      <c r="F9" s="5" t="str">
        <f>IF(Dmart_sales_data[[#This Row],[sales]]&gt;3000,"High Sales",IF(Dmart_sales_data[[#This Row],[sales]]&gt;1000,"Medium Sales","Low Sales"))</f>
        <v>Medium Sales</v>
      </c>
      <c r="G9" s="10">
        <v>0.23</v>
      </c>
      <c r="H9" s="10">
        <v>2</v>
      </c>
      <c r="I9" s="11">
        <v>45064</v>
      </c>
      <c r="J9" s="11">
        <v>45066</v>
      </c>
      <c r="K9" s="10" t="s">
        <v>20</v>
      </c>
      <c r="L9" s="10" t="s">
        <v>20</v>
      </c>
      <c r="M9" s="10" t="s">
        <v>16</v>
      </c>
      <c r="N9" s="10">
        <v>91.68</v>
      </c>
      <c r="O9" s="27" t="s">
        <v>27</v>
      </c>
      <c r="P9" s="24" t="s">
        <v>543</v>
      </c>
      <c r="Q9" s="55" t="str">
        <f>IF(AND(Dmart_sales_data[[#This Row],[customer_type2]]="Member",OR(Dmart_sales_data[[#This Row],[payment_mode]]="UPI",Dmart_sales_data[[#This Row],[payment_mode]]="Card")),"yes","No")</f>
        <v>No</v>
      </c>
      <c r="R9" s="1"/>
      <c r="S9" s="97"/>
      <c r="T9" s="98"/>
      <c r="U9" s="1"/>
      <c r="V9" s="95" t="s">
        <v>653</v>
      </c>
      <c r="W9" s="96" cm="1">
        <f t="array" ref="W9">SUMIF(Region,"=West",sales)</f>
        <v>346200.06999999983</v>
      </c>
      <c r="X9" s="1"/>
      <c r="Y9" s="1"/>
      <c r="Z9" s="1"/>
      <c r="AA9" s="1"/>
      <c r="AB9" s="1"/>
    </row>
    <row r="10" spans="1:28" ht="14.25" customHeight="1" thickBot="1" x14ac:dyDescent="0.35">
      <c r="A10" s="13" t="s">
        <v>40</v>
      </c>
      <c r="B10" s="14" t="s">
        <v>13</v>
      </c>
      <c r="C10" s="4" t="s">
        <v>13</v>
      </c>
      <c r="D10" s="15" t="s">
        <v>37</v>
      </c>
      <c r="E10" s="15">
        <v>4997.47</v>
      </c>
      <c r="F10" s="5" t="str">
        <f>IF(Dmart_sales_data[[#This Row],[sales]]&gt;3000,"High Sales",IF(Dmart_sales_data[[#This Row],[sales]]&gt;1000,"Medium Sales","Low Sales"))</f>
        <v>High Sales</v>
      </c>
      <c r="G10" s="15">
        <v>0.28999999999999998</v>
      </c>
      <c r="H10" s="15">
        <v>6</v>
      </c>
      <c r="I10" s="16">
        <v>45296</v>
      </c>
      <c r="J10" s="16">
        <v>45299</v>
      </c>
      <c r="K10" s="15" t="s">
        <v>20</v>
      </c>
      <c r="L10" s="15" t="s">
        <v>20</v>
      </c>
      <c r="M10" s="15" t="s">
        <v>21</v>
      </c>
      <c r="N10" s="15">
        <v>995.78</v>
      </c>
      <c r="O10" s="28" t="s">
        <v>41</v>
      </c>
      <c r="P10" s="17" t="s">
        <v>41</v>
      </c>
      <c r="Q10" s="55" t="str">
        <f>IF(AND(Dmart_sales_data[[#This Row],[customer_type2]]="Member",OR(Dmart_sales_data[[#This Row],[payment_mode]]="UPI",Dmart_sales_data[[#This Row],[payment_mode]]="Card")),"yes","No")</f>
        <v>No</v>
      </c>
      <c r="R10" s="1"/>
      <c r="S10" s="99" t="s">
        <v>615</v>
      </c>
      <c r="T10" s="100">
        <f>SUMIF(Dmart_sales_data[payment_mode],"=Card",Dmart_sales_data[sales])</f>
        <v>413292.63999999996</v>
      </c>
      <c r="U10" s="1"/>
      <c r="V10" s="1"/>
      <c r="W10" s="1"/>
      <c r="X10" s="1"/>
      <c r="Y10" s="1"/>
      <c r="Z10" s="1"/>
      <c r="AA10" s="1"/>
      <c r="AB10" s="1"/>
    </row>
    <row r="11" spans="1:28" ht="14.25" customHeight="1" thickBot="1" x14ac:dyDescent="0.35">
      <c r="A11" s="8" t="s">
        <v>42</v>
      </c>
      <c r="B11" s="9" t="s">
        <v>576</v>
      </c>
      <c r="C11" s="9" t="s">
        <v>576</v>
      </c>
      <c r="D11" s="10" t="s">
        <v>34</v>
      </c>
      <c r="E11" s="10">
        <v>587.72</v>
      </c>
      <c r="F11" s="5" t="str">
        <f>IF(Dmart_sales_data[[#This Row],[sales]]&gt;3000,"High Sales",IF(Dmart_sales_data[[#This Row],[sales]]&gt;1000,"Medium Sales","Low Sales"))</f>
        <v>Low Sales</v>
      </c>
      <c r="G11" s="10">
        <v>0.44</v>
      </c>
      <c r="H11" s="10">
        <v>6</v>
      </c>
      <c r="I11" s="11">
        <v>45514</v>
      </c>
      <c r="J11" s="11">
        <v>45521</v>
      </c>
      <c r="K11" s="10" t="s">
        <v>32</v>
      </c>
      <c r="L11" s="10" t="s">
        <v>32</v>
      </c>
      <c r="M11" s="10" t="s">
        <v>26</v>
      </c>
      <c r="N11" s="10">
        <v>102.96</v>
      </c>
      <c r="O11" s="27" t="s">
        <v>79</v>
      </c>
      <c r="P11" s="12" t="s">
        <v>22</v>
      </c>
      <c r="Q11" s="55" t="str">
        <f>IF(AND(Dmart_sales_data[[#This Row],[customer_type2]]="Member",OR(Dmart_sales_data[[#This Row],[payment_mode]]="UPI",Dmart_sales_data[[#This Row],[payment_mode]]="Card")),"yes","No")</f>
        <v>No</v>
      </c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</row>
    <row r="12" spans="1:28" ht="14.25" customHeight="1" thickBot="1" x14ac:dyDescent="0.35">
      <c r="A12" s="13" t="s">
        <v>43</v>
      </c>
      <c r="B12" s="14" t="s">
        <v>24</v>
      </c>
      <c r="C12" s="14" t="s">
        <v>24</v>
      </c>
      <c r="D12" s="15" t="s">
        <v>14</v>
      </c>
      <c r="E12" s="15">
        <v>2581.42</v>
      </c>
      <c r="F12" s="5" t="str">
        <f>IF(Dmart_sales_data[[#This Row],[sales]]&gt;3000,"High Sales",IF(Dmart_sales_data[[#This Row],[sales]]&gt;1000,"Medium Sales","Low Sales"))</f>
        <v>Medium Sales</v>
      </c>
      <c r="G12" s="15">
        <v>0.39</v>
      </c>
      <c r="H12" s="15">
        <v>6</v>
      </c>
      <c r="I12" s="16">
        <v>45419</v>
      </c>
      <c r="J12" s="16">
        <v>45420</v>
      </c>
      <c r="K12" s="15" t="s">
        <v>20</v>
      </c>
      <c r="L12" s="15" t="s">
        <v>20</v>
      </c>
      <c r="M12" s="15" t="s">
        <v>26</v>
      </c>
      <c r="N12" s="15">
        <v>542.82000000000005</v>
      </c>
      <c r="O12" s="27" t="s">
        <v>41</v>
      </c>
      <c r="P12" s="17" t="s">
        <v>44</v>
      </c>
      <c r="Q12" s="55" t="str">
        <f>IF(AND(Dmart_sales_data[[#This Row],[customer_type2]]="Member",OR(Dmart_sales_data[[#This Row],[payment_mode]]="UPI",Dmart_sales_data[[#This Row],[payment_mode]]="Card")),"yes","No")</f>
        <v>No</v>
      </c>
      <c r="R12" s="1"/>
      <c r="S12" s="118" t="s">
        <v>630</v>
      </c>
      <c r="T12" s="86"/>
      <c r="U12" s="1"/>
      <c r="V12" s="108" t="s">
        <v>659</v>
      </c>
      <c r="W12" s="1"/>
      <c r="X12" s="1"/>
      <c r="Y12" s="1"/>
      <c r="Z12" s="1"/>
      <c r="AA12" s="1"/>
      <c r="AB12" s="1"/>
    </row>
    <row r="13" spans="1:28" ht="14.25" customHeight="1" x14ac:dyDescent="0.3">
      <c r="A13" s="8" t="s">
        <v>45</v>
      </c>
      <c r="B13" s="9" t="s">
        <v>29</v>
      </c>
      <c r="C13" s="9" t="s">
        <v>29</v>
      </c>
      <c r="D13" s="10" t="s">
        <v>14</v>
      </c>
      <c r="E13" s="10">
        <v>4261.74</v>
      </c>
      <c r="F13" s="5" t="str">
        <f>IF(Dmart_sales_data[[#This Row],[sales]]&gt;3000,"High Sales",IF(Dmart_sales_data[[#This Row],[sales]]&gt;1000,"Medium Sales","Low Sales"))</f>
        <v>High Sales</v>
      </c>
      <c r="G13" s="10">
        <v>0.15</v>
      </c>
      <c r="H13" s="10">
        <v>1</v>
      </c>
      <c r="I13" s="11">
        <v>45171</v>
      </c>
      <c r="J13" s="11">
        <v>45172</v>
      </c>
      <c r="K13" s="10" t="s">
        <v>32</v>
      </c>
      <c r="L13" s="10" t="s">
        <v>32</v>
      </c>
      <c r="M13" s="10" t="s">
        <v>16</v>
      </c>
      <c r="N13" s="10">
        <v>1028.47</v>
      </c>
      <c r="O13" s="27" t="s">
        <v>41</v>
      </c>
      <c r="P13" s="12" t="s">
        <v>41</v>
      </c>
      <c r="Q13" s="55" t="str">
        <f>IF(AND(Dmart_sales_data[[#This Row],[customer_type2]]="Member",OR(Dmart_sales_data[[#This Row],[payment_mode]]="UPI",Dmart_sales_data[[#This Row],[payment_mode]]="Card")),"yes","No")</f>
        <v>No</v>
      </c>
      <c r="R13" s="1"/>
      <c r="S13" s="97" t="s">
        <v>628</v>
      </c>
      <c r="T13" s="98">
        <f>SUMIFS(Dmart_sales_data[sales],Dmart_sales_data[Category],"=Clothing",Dmart_sales_data[Updated region],"=East")</f>
        <v>60655.859999999993</v>
      </c>
      <c r="U13" s="1"/>
      <c r="V13" s="109" t="s">
        <v>654</v>
      </c>
      <c r="W13" s="110" cm="1">
        <f t="array" ref="W13">COUNTIF(Region,"North")</f>
        <v>124</v>
      </c>
      <c r="X13" s="1"/>
      <c r="Y13" s="1"/>
      <c r="Z13" s="1"/>
      <c r="AA13" s="1"/>
      <c r="AB13" s="1"/>
    </row>
    <row r="14" spans="1:28" ht="14.25" customHeight="1" x14ac:dyDescent="0.3">
      <c r="A14" s="13" t="s">
        <v>46</v>
      </c>
      <c r="B14" s="14" t="s">
        <v>13</v>
      </c>
      <c r="C14" s="4" t="s">
        <v>13</v>
      </c>
      <c r="D14" s="15" t="s">
        <v>25</v>
      </c>
      <c r="E14" s="15">
        <v>1573.19</v>
      </c>
      <c r="F14" s="5" t="str">
        <f>IF(Dmart_sales_data[[#This Row],[sales]]&gt;3000,"High Sales",IF(Dmart_sales_data[[#This Row],[sales]]&gt;1000,"Medium Sales","Low Sales"))</f>
        <v>Medium Sales</v>
      </c>
      <c r="G14" s="15">
        <v>0.37</v>
      </c>
      <c r="H14" s="15">
        <v>6</v>
      </c>
      <c r="I14" s="16">
        <v>45331</v>
      </c>
      <c r="J14" s="16">
        <v>45338</v>
      </c>
      <c r="K14" s="15" t="s">
        <v>32</v>
      </c>
      <c r="L14" s="15" t="s">
        <v>32</v>
      </c>
      <c r="M14" s="15" t="s">
        <v>26</v>
      </c>
      <c r="N14" s="15">
        <v>131.5</v>
      </c>
      <c r="O14" s="27" t="s">
        <v>35</v>
      </c>
      <c r="P14" s="17" t="s">
        <v>30</v>
      </c>
      <c r="Q14" s="55" t="str">
        <f>IF(AND(Dmart_sales_data[[#This Row],[customer_type2]]="Member",OR(Dmart_sales_data[[#This Row],[payment_mode]]="UPI",Dmart_sales_data[[#This Row],[payment_mode]]="Card")),"yes","No")</f>
        <v>No</v>
      </c>
      <c r="R14" s="1"/>
      <c r="S14" s="97"/>
      <c r="T14" s="101"/>
      <c r="U14" s="1"/>
      <c r="V14" s="111" t="s">
        <v>655</v>
      </c>
      <c r="W14" s="112" cm="1">
        <f t="array" ref="W14">COUNTIF(Region,"North")</f>
        <v>124</v>
      </c>
      <c r="X14" s="1"/>
      <c r="Y14" s="1"/>
      <c r="Z14" s="1"/>
      <c r="AA14" s="1"/>
      <c r="AB14" s="1"/>
    </row>
    <row r="15" spans="1:28" ht="14.25" customHeight="1" thickBot="1" x14ac:dyDescent="0.35">
      <c r="A15" s="8" t="s">
        <v>47</v>
      </c>
      <c r="B15" s="9" t="s">
        <v>576</v>
      </c>
      <c r="C15" s="9" t="s">
        <v>576</v>
      </c>
      <c r="D15" s="10" t="s">
        <v>14</v>
      </c>
      <c r="E15" s="10">
        <v>1377.47</v>
      </c>
      <c r="F15" s="5" t="str">
        <f>IF(Dmart_sales_data[[#This Row],[sales]]&gt;3000,"High Sales",IF(Dmart_sales_data[[#This Row],[sales]]&gt;1000,"Medium Sales","Low Sales"))</f>
        <v>Medium Sales</v>
      </c>
      <c r="G15" s="10">
        <v>0.27</v>
      </c>
      <c r="H15" s="10">
        <v>2</v>
      </c>
      <c r="I15" s="11">
        <v>45074</v>
      </c>
      <c r="J15" s="11">
        <v>45075</v>
      </c>
      <c r="K15" s="10" t="s">
        <v>15</v>
      </c>
      <c r="L15" s="10" t="s">
        <v>15</v>
      </c>
      <c r="M15" s="10" t="s">
        <v>26</v>
      </c>
      <c r="N15" s="10">
        <v>255.49</v>
      </c>
      <c r="O15" s="27" t="s">
        <v>27</v>
      </c>
      <c r="P15" s="12" t="s">
        <v>48</v>
      </c>
      <c r="Q15" s="55" t="str">
        <f>IF(AND(Dmart_sales_data[[#This Row],[customer_type2]]="Member",OR(Dmart_sales_data[[#This Row],[payment_mode]]="UPI",Dmart_sales_data[[#This Row],[payment_mode]]="Card")),"yes","No")</f>
        <v>No</v>
      </c>
      <c r="R15" s="1"/>
      <c r="S15" s="99" t="s">
        <v>631</v>
      </c>
      <c r="T15" s="102">
        <f>SUMIFS(Dmart_sales_data[sales],Dmart_sales_data[Category],"Electronics",Dmart_sales_data[Updated region],"North",Dmart_sales_data[discount],"&gt;0.40")</f>
        <v>36091.269999999997</v>
      </c>
      <c r="U15" s="19"/>
      <c r="V15" s="111" t="s">
        <v>656</v>
      </c>
      <c r="W15" s="112" cm="1">
        <f t="array" ref="W15">COUNTIF(Region,"East")</f>
        <v>125</v>
      </c>
      <c r="X15" s="1"/>
      <c r="Y15" s="1"/>
      <c r="Z15" s="1"/>
      <c r="AA15" s="1"/>
      <c r="AB15" s="1"/>
    </row>
    <row r="16" spans="1:28" ht="14.25" customHeight="1" thickBot="1" x14ac:dyDescent="0.35">
      <c r="A16" s="13" t="s">
        <v>49</v>
      </c>
      <c r="B16" s="14" t="s">
        <v>24</v>
      </c>
      <c r="C16" s="14" t="s">
        <v>24</v>
      </c>
      <c r="D16" s="15" t="s">
        <v>14</v>
      </c>
      <c r="E16" s="15">
        <v>4464.8900000000003</v>
      </c>
      <c r="F16" s="5" t="str">
        <f>IF(Dmart_sales_data[[#This Row],[sales]]&gt;3000,"High Sales",IF(Dmart_sales_data[[#This Row],[sales]]&gt;1000,"Medium Sales","Low Sales"))</f>
        <v>High Sales</v>
      </c>
      <c r="G16" s="15">
        <v>0.39</v>
      </c>
      <c r="H16" s="15">
        <v>5</v>
      </c>
      <c r="I16" s="16">
        <v>45296</v>
      </c>
      <c r="J16" s="16">
        <v>45303</v>
      </c>
      <c r="K16" s="15" t="s">
        <v>20</v>
      </c>
      <c r="L16" s="15" t="s">
        <v>20</v>
      </c>
      <c r="M16" s="15" t="s">
        <v>16</v>
      </c>
      <c r="N16" s="15">
        <v>804.36</v>
      </c>
      <c r="O16" s="27" t="s">
        <v>27</v>
      </c>
      <c r="P16" s="17" t="s">
        <v>39</v>
      </c>
      <c r="Q16" s="55" t="str">
        <f>IF(AND(Dmart_sales_data[[#This Row],[customer_type2]]="Member",OR(Dmart_sales_data[[#This Row],[payment_mode]]="UPI",Dmart_sales_data[[#This Row],[payment_mode]]="Card")),"yes","No")</f>
        <v>No</v>
      </c>
      <c r="R16" s="1"/>
      <c r="S16" s="1"/>
      <c r="T16" s="19"/>
      <c r="U16" s="19"/>
      <c r="V16" s="113" t="s">
        <v>657</v>
      </c>
      <c r="W16" s="114" cm="1">
        <f t="array" ref="W16">COUNTIF(Region,"West")</f>
        <v>125</v>
      </c>
      <c r="X16" s="1"/>
      <c r="Y16" s="1"/>
      <c r="Z16" s="1"/>
      <c r="AA16" s="1"/>
      <c r="AB16" s="1"/>
    </row>
    <row r="17" spans="1:28" ht="14.25" customHeight="1" thickBot="1" x14ac:dyDescent="0.35">
      <c r="A17" s="8" t="s">
        <v>50</v>
      </c>
      <c r="B17" s="9" t="s">
        <v>29</v>
      </c>
      <c r="C17" s="9" t="s">
        <v>29</v>
      </c>
      <c r="D17" s="10" t="s">
        <v>37</v>
      </c>
      <c r="E17" s="10">
        <v>1593.67</v>
      </c>
      <c r="F17" s="5" t="str">
        <f>IF(Dmart_sales_data[[#This Row],[sales]]&gt;3000,"High Sales",IF(Dmart_sales_data[[#This Row],[sales]]&gt;1000,"Medium Sales","Low Sales"))</f>
        <v>Medium Sales</v>
      </c>
      <c r="G17" s="10">
        <v>0.21</v>
      </c>
      <c r="H17" s="10">
        <v>7</v>
      </c>
      <c r="I17" s="11">
        <v>45583</v>
      </c>
      <c r="J17" s="11">
        <v>45587</v>
      </c>
      <c r="K17" s="10" t="s">
        <v>15</v>
      </c>
      <c r="L17" s="10" t="s">
        <v>15</v>
      </c>
      <c r="M17" s="10" t="s">
        <v>21</v>
      </c>
      <c r="N17" s="10">
        <v>284.91000000000003</v>
      </c>
      <c r="O17" s="27" t="s">
        <v>41</v>
      </c>
      <c r="P17" s="12" t="s">
        <v>41</v>
      </c>
      <c r="Q17" s="55" t="str">
        <f>IF(AND(Dmart_sales_data[[#This Row],[customer_type2]]="Member",OR(Dmart_sales_data[[#This Row],[payment_mode]]="UPI",Dmart_sales_data[[#This Row],[payment_mode]]="Card")),"yes","No")</f>
        <v>yes</v>
      </c>
      <c r="R17" s="1"/>
      <c r="S17" s="1"/>
      <c r="T17" s="19"/>
      <c r="U17" s="19"/>
      <c r="V17" s="1"/>
      <c r="W17" s="1"/>
      <c r="X17" s="1"/>
      <c r="Y17" s="1"/>
      <c r="Z17" s="1"/>
      <c r="AA17" s="1"/>
      <c r="AB17" s="1"/>
    </row>
    <row r="18" spans="1:28" ht="14.25" customHeight="1" thickBot="1" x14ac:dyDescent="0.35">
      <c r="A18" s="13" t="s">
        <v>51</v>
      </c>
      <c r="B18" s="14" t="s">
        <v>13</v>
      </c>
      <c r="C18" s="4" t="s">
        <v>13</v>
      </c>
      <c r="D18" s="15" t="s">
        <v>19</v>
      </c>
      <c r="E18" s="15">
        <v>3292.32</v>
      </c>
      <c r="F18" s="5" t="str">
        <f>IF(Dmart_sales_data[[#This Row],[sales]]&gt;3000,"High Sales",IF(Dmart_sales_data[[#This Row],[sales]]&gt;1000,"Medium Sales","Low Sales"))</f>
        <v>High Sales</v>
      </c>
      <c r="G18" s="15">
        <v>0.05</v>
      </c>
      <c r="H18" s="15">
        <v>1</v>
      </c>
      <c r="I18" s="16">
        <v>45042</v>
      </c>
      <c r="J18" s="16">
        <v>45043</v>
      </c>
      <c r="K18" s="15" t="s">
        <v>15</v>
      </c>
      <c r="L18" s="15" t="s">
        <v>15</v>
      </c>
      <c r="M18" s="15" t="s">
        <v>21</v>
      </c>
      <c r="N18" s="15">
        <v>504.83</v>
      </c>
      <c r="O18" s="27" t="s">
        <v>17</v>
      </c>
      <c r="P18" s="17" t="s">
        <v>52</v>
      </c>
      <c r="Q18" s="55" t="str">
        <f>IF(AND(Dmart_sales_data[[#This Row],[customer_type2]]="Member",OR(Dmart_sales_data[[#This Row],[payment_mode]]="UPI",Dmart_sales_data[[#This Row],[payment_mode]]="Card")),"yes","No")</f>
        <v>yes</v>
      </c>
      <c r="R18" s="1"/>
      <c r="S18" s="119" t="s">
        <v>638</v>
      </c>
      <c r="T18" s="88"/>
      <c r="U18" s="19"/>
      <c r="V18" s="1"/>
      <c r="W18" s="1"/>
      <c r="X18" s="1"/>
      <c r="Y18" s="1"/>
      <c r="Z18" s="1"/>
      <c r="AA18" s="1"/>
      <c r="AB18" s="1"/>
    </row>
    <row r="19" spans="1:28" ht="14.25" customHeight="1" thickBot="1" x14ac:dyDescent="0.35">
      <c r="A19" s="8" t="s">
        <v>53</v>
      </c>
      <c r="B19" s="9" t="s">
        <v>576</v>
      </c>
      <c r="C19" s="9" t="s">
        <v>576</v>
      </c>
      <c r="D19" s="10" t="s">
        <v>14</v>
      </c>
      <c r="E19" s="10">
        <v>3727.53</v>
      </c>
      <c r="F19" s="5" t="str">
        <f>IF(Dmart_sales_data[[#This Row],[sales]]&gt;3000,"High Sales",IF(Dmart_sales_data[[#This Row],[sales]]&gt;1000,"Medium Sales","Low Sales"))</f>
        <v>High Sales</v>
      </c>
      <c r="G19" s="10">
        <v>0.31</v>
      </c>
      <c r="H19" s="10">
        <v>5</v>
      </c>
      <c r="I19" s="11">
        <v>45228</v>
      </c>
      <c r="J19" s="11">
        <v>45235</v>
      </c>
      <c r="K19" s="10" t="s">
        <v>20</v>
      </c>
      <c r="L19" s="10" t="s">
        <v>20</v>
      </c>
      <c r="M19" s="10" t="s">
        <v>21</v>
      </c>
      <c r="N19" s="10">
        <v>978.07</v>
      </c>
      <c r="O19" s="27" t="s">
        <v>41</v>
      </c>
      <c r="P19" s="12" t="s">
        <v>44</v>
      </c>
      <c r="Q19" s="55" t="str">
        <f>IF(AND(Dmart_sales_data[[#This Row],[customer_type2]]="Member",OR(Dmart_sales_data[[#This Row],[payment_mode]]="UPI",Dmart_sales_data[[#This Row],[payment_mode]]="Card")),"yes","No")</f>
        <v>No</v>
      </c>
      <c r="R19" s="1"/>
      <c r="S19" s="103" t="s">
        <v>637</v>
      </c>
      <c r="T19" s="104">
        <f>COUNT(sales)</f>
        <v>498</v>
      </c>
      <c r="U19" s="1"/>
      <c r="V19" s="115" t="s">
        <v>660</v>
      </c>
      <c r="W19" s="116" cm="1">
        <f t="array" ref="W19">SUMIF(order_date,"&lt;1-01-2024",sales)</f>
        <v>654586.69000000018</v>
      </c>
      <c r="X19" s="1"/>
      <c r="Y19" s="1"/>
      <c r="Z19" s="1"/>
      <c r="AA19" s="1"/>
      <c r="AB19" s="1"/>
    </row>
    <row r="20" spans="1:28" ht="14.25" customHeight="1" thickBot="1" x14ac:dyDescent="0.35">
      <c r="A20" s="13" t="s">
        <v>54</v>
      </c>
      <c r="B20" s="14" t="s">
        <v>24</v>
      </c>
      <c r="C20" s="14" t="s">
        <v>24</v>
      </c>
      <c r="D20" s="15" t="s">
        <v>14</v>
      </c>
      <c r="E20" s="15">
        <v>3964.23</v>
      </c>
      <c r="F20" s="5" t="str">
        <f>IF(Dmart_sales_data[[#This Row],[sales]]&gt;3000,"High Sales",IF(Dmart_sales_data[[#This Row],[sales]]&gt;1000,"Medium Sales","Low Sales"))</f>
        <v>High Sales</v>
      </c>
      <c r="G20" s="15">
        <v>0.28000000000000003</v>
      </c>
      <c r="H20" s="15">
        <v>9</v>
      </c>
      <c r="I20" s="16">
        <v>45448</v>
      </c>
      <c r="J20" s="16">
        <v>45451</v>
      </c>
      <c r="K20" s="15" t="s">
        <v>15</v>
      </c>
      <c r="L20" s="15" t="s">
        <v>15</v>
      </c>
      <c r="M20" s="15" t="s">
        <v>16</v>
      </c>
      <c r="N20" s="15">
        <v>260.95</v>
      </c>
      <c r="O20" s="27" t="s">
        <v>79</v>
      </c>
      <c r="P20" s="17" t="s">
        <v>55</v>
      </c>
      <c r="Q20" s="55" t="str">
        <f>IF(AND(Dmart_sales_data[[#This Row],[customer_type2]]="Member",OR(Dmart_sales_data[[#This Row],[payment_mode]]="UPI",Dmart_sales_data[[#This Row],[payment_mode]]="Card")),"yes","No")</f>
        <v>yes</v>
      </c>
      <c r="R20" s="1"/>
      <c r="S20" s="1"/>
      <c r="T20" s="1"/>
      <c r="U20" s="1"/>
      <c r="V20" s="105" t="s">
        <v>661</v>
      </c>
      <c r="W20" s="117" cm="1">
        <f t="array" ref="W20">SUMIF(order_date,"&gt;30-06-2024",sales)</f>
        <v>368049.34999999992</v>
      </c>
      <c r="X20" s="1"/>
      <c r="Y20" s="1"/>
      <c r="Z20" s="1"/>
      <c r="AA20" s="1"/>
      <c r="AB20" s="1"/>
    </row>
    <row r="21" spans="1:28" ht="14.25" customHeight="1" thickBot="1" x14ac:dyDescent="0.35">
      <c r="A21" s="8" t="s">
        <v>56</v>
      </c>
      <c r="B21" s="9" t="s">
        <v>29</v>
      </c>
      <c r="C21" s="9" t="s">
        <v>29</v>
      </c>
      <c r="D21" s="10" t="s">
        <v>34</v>
      </c>
      <c r="E21" s="10">
        <v>4974.32</v>
      </c>
      <c r="F21" s="5" t="str">
        <f>IF(Dmart_sales_data[[#This Row],[sales]]&gt;3000,"High Sales",IF(Dmart_sales_data[[#This Row],[sales]]&gt;1000,"Medium Sales","Low Sales"))</f>
        <v>High Sales</v>
      </c>
      <c r="G21" s="10">
        <v>0.48</v>
      </c>
      <c r="H21" s="10">
        <v>3</v>
      </c>
      <c r="I21" s="11">
        <v>45047</v>
      </c>
      <c r="J21" s="11">
        <v>45051</v>
      </c>
      <c r="K21" s="10" t="s">
        <v>20</v>
      </c>
      <c r="L21" s="10" t="s">
        <v>20</v>
      </c>
      <c r="M21" s="10" t="s">
        <v>21</v>
      </c>
      <c r="N21" s="10">
        <v>727.29</v>
      </c>
      <c r="O21" s="27" t="s">
        <v>27</v>
      </c>
      <c r="P21" s="12" t="s">
        <v>39</v>
      </c>
      <c r="Q21" s="55" t="str">
        <f>IF(AND(Dmart_sales_data[[#This Row],[customer_type2]]="Member",OR(Dmart_sales_data[[#This Row],[payment_mode]]="UPI",Dmart_sales_data[[#This Row],[payment_mode]]="Card")),"yes","No")</f>
        <v>No</v>
      </c>
      <c r="R21" s="1"/>
      <c r="S21" s="87" t="s">
        <v>639</v>
      </c>
      <c r="T21" s="86"/>
      <c r="U21" s="1"/>
      <c r="V21" s="1"/>
      <c r="W21" s="1"/>
      <c r="X21" s="1"/>
      <c r="Y21" s="1"/>
      <c r="Z21" s="1"/>
      <c r="AA21" s="1"/>
      <c r="AB21" s="1"/>
    </row>
    <row r="22" spans="1:28" ht="14.25" customHeight="1" thickBot="1" x14ac:dyDescent="0.35">
      <c r="A22" s="13" t="s">
        <v>57</v>
      </c>
      <c r="B22" s="14" t="s">
        <v>13</v>
      </c>
      <c r="C22" s="4" t="s">
        <v>13</v>
      </c>
      <c r="D22" s="15" t="s">
        <v>25</v>
      </c>
      <c r="E22" s="15">
        <v>4035.64</v>
      </c>
      <c r="F22" s="5" t="str">
        <f>IF(Dmart_sales_data[[#This Row],[sales]]&gt;3000,"High Sales",IF(Dmart_sales_data[[#This Row],[sales]]&gt;1000,"Medium Sales","Low Sales"))</f>
        <v>High Sales</v>
      </c>
      <c r="G22" s="15">
        <v>0.08</v>
      </c>
      <c r="H22" s="15">
        <v>2</v>
      </c>
      <c r="I22" s="16">
        <v>45586</v>
      </c>
      <c r="J22" s="16">
        <v>45593</v>
      </c>
      <c r="K22" s="15" t="s">
        <v>20</v>
      </c>
      <c r="L22" s="15" t="s">
        <v>20</v>
      </c>
      <c r="M22" s="15" t="s">
        <v>26</v>
      </c>
      <c r="N22" s="15">
        <v>798.81</v>
      </c>
      <c r="O22" s="27" t="s">
        <v>35</v>
      </c>
      <c r="P22" s="17" t="s">
        <v>58</v>
      </c>
      <c r="Q22" s="55" t="str">
        <f>IF(AND(Dmart_sales_data[[#This Row],[customer_type2]]="Member",OR(Dmart_sales_data[[#This Row],[payment_mode]]="UPI",Dmart_sales_data[[#This Row],[payment_mode]]="Card")),"yes","No")</f>
        <v>No</v>
      </c>
      <c r="R22" s="1"/>
      <c r="S22" s="97" t="s">
        <v>640</v>
      </c>
      <c r="T22" s="101" cm="1">
        <f t="array" ref="T22">COUNTIF(transactions,"Cash")</f>
        <v>185</v>
      </c>
      <c r="U22" s="1"/>
      <c r="V22" s="105" t="s">
        <v>662</v>
      </c>
      <c r="W22" s="106" cm="1">
        <f t="array" ref="W22">COUNTIF(payment_mode,"UPI")</f>
        <v>149</v>
      </c>
      <c r="X22" s="1"/>
      <c r="Y22" s="1"/>
      <c r="Z22" s="1"/>
      <c r="AA22" s="1"/>
      <c r="AB22" s="1"/>
    </row>
    <row r="23" spans="1:28" ht="14.25" customHeight="1" x14ac:dyDescent="0.3">
      <c r="A23" s="8" t="s">
        <v>59</v>
      </c>
      <c r="B23" s="9" t="s">
        <v>576</v>
      </c>
      <c r="C23" s="9" t="s">
        <v>576</v>
      </c>
      <c r="D23" s="10" t="s">
        <v>34</v>
      </c>
      <c r="E23" s="10">
        <v>3319.36</v>
      </c>
      <c r="F23" s="5" t="str">
        <f>IF(Dmart_sales_data[[#This Row],[sales]]&gt;3000,"High Sales",IF(Dmart_sales_data[[#This Row],[sales]]&gt;1000,"Medium Sales","Low Sales"))</f>
        <v>High Sales</v>
      </c>
      <c r="G23" s="10">
        <v>0.33</v>
      </c>
      <c r="H23" s="10">
        <v>2</v>
      </c>
      <c r="I23" s="11">
        <v>45153</v>
      </c>
      <c r="J23" s="11">
        <v>45159</v>
      </c>
      <c r="K23" s="10" t="s">
        <v>15</v>
      </c>
      <c r="L23" s="10" t="s">
        <v>15</v>
      </c>
      <c r="M23" s="10" t="s">
        <v>26</v>
      </c>
      <c r="N23" s="10">
        <v>920.22</v>
      </c>
      <c r="O23" s="27" t="s">
        <v>27</v>
      </c>
      <c r="P23" s="12" t="s">
        <v>39</v>
      </c>
      <c r="Q23" s="55" t="str">
        <f>IF(AND(Dmart_sales_data[[#This Row],[customer_type2]]="Member",OR(Dmart_sales_data[[#This Row],[payment_mode]]="UPI",Dmart_sales_data[[#This Row],[payment_mode]]="Card")),"yes","No")</f>
        <v>No</v>
      </c>
      <c r="R23" s="1"/>
      <c r="S23" s="97" t="s">
        <v>641</v>
      </c>
      <c r="T23" s="101" cm="1">
        <f t="array" ref="T23">COUNTIF(transactions,"Card")</f>
        <v>164</v>
      </c>
      <c r="U23" s="1"/>
      <c r="V23" s="1"/>
      <c r="X23" s="1"/>
      <c r="Y23" s="1"/>
      <c r="Z23" s="1"/>
      <c r="AA23" s="1"/>
      <c r="AB23" s="1"/>
    </row>
    <row r="24" spans="1:28" ht="14.25" customHeight="1" thickBot="1" x14ac:dyDescent="0.35">
      <c r="A24" s="13" t="s">
        <v>60</v>
      </c>
      <c r="B24" s="14" t="s">
        <v>24</v>
      </c>
      <c r="C24" s="14" t="s">
        <v>24</v>
      </c>
      <c r="D24" s="15" t="s">
        <v>37</v>
      </c>
      <c r="E24" s="15">
        <v>4487.7700000000004</v>
      </c>
      <c r="F24" s="5" t="str">
        <f>IF(Dmart_sales_data[[#This Row],[sales]]&gt;3000,"High Sales",IF(Dmart_sales_data[[#This Row],[sales]]&gt;1000,"Medium Sales","Low Sales"))</f>
        <v>High Sales</v>
      </c>
      <c r="G24" s="15">
        <v>0.24</v>
      </c>
      <c r="H24" s="15">
        <v>3</v>
      </c>
      <c r="I24" s="16">
        <v>45657</v>
      </c>
      <c r="J24" s="16">
        <v>45659</v>
      </c>
      <c r="K24" s="15" t="s">
        <v>20</v>
      </c>
      <c r="L24" s="15" t="s">
        <v>20</v>
      </c>
      <c r="M24" s="15" t="s">
        <v>21</v>
      </c>
      <c r="N24" s="15">
        <v>931.37</v>
      </c>
      <c r="O24" s="27" t="s">
        <v>41</v>
      </c>
      <c r="P24" s="17" t="s">
        <v>41</v>
      </c>
      <c r="Q24" s="55" t="str">
        <f>IF(AND(Dmart_sales_data[[#This Row],[customer_type2]]="Member",OR(Dmart_sales_data[[#This Row],[payment_mode]]="UPI",Dmart_sales_data[[#This Row],[payment_mode]]="Card")),"yes","No")</f>
        <v>No</v>
      </c>
      <c r="R24" s="1"/>
      <c r="S24" s="99" t="s">
        <v>642</v>
      </c>
      <c r="T24" s="104" cm="1">
        <f t="array" ref="T24">COUNTIF(transactions,"UPI")</f>
        <v>149</v>
      </c>
      <c r="U24" s="1"/>
      <c r="V24" s="1"/>
      <c r="W24" s="1"/>
      <c r="X24" s="1"/>
      <c r="Y24" s="1"/>
      <c r="Z24" s="1"/>
      <c r="AA24" s="1"/>
      <c r="AB24" s="1"/>
    </row>
    <row r="25" spans="1:28" ht="14.25" customHeight="1" thickBot="1" x14ac:dyDescent="0.35">
      <c r="A25" s="8" t="s">
        <v>61</v>
      </c>
      <c r="B25" s="9" t="s">
        <v>29</v>
      </c>
      <c r="C25" s="9" t="s">
        <v>29</v>
      </c>
      <c r="D25" s="10" t="s">
        <v>19</v>
      </c>
      <c r="E25" s="10">
        <v>4538.1499999999996</v>
      </c>
      <c r="F25" s="5" t="str">
        <f>IF(Dmart_sales_data[[#This Row],[sales]]&gt;3000,"High Sales",IF(Dmart_sales_data[[#This Row],[sales]]&gt;1000,"Medium Sales","Low Sales"))</f>
        <v>High Sales</v>
      </c>
      <c r="G25" s="10">
        <v>0.19</v>
      </c>
      <c r="H25" s="10">
        <v>1</v>
      </c>
      <c r="I25" s="11">
        <v>45005</v>
      </c>
      <c r="J25" s="11">
        <v>45008</v>
      </c>
      <c r="K25" s="10" t="s">
        <v>20</v>
      </c>
      <c r="L25" s="10" t="s">
        <v>20</v>
      </c>
      <c r="M25" s="10" t="s">
        <v>26</v>
      </c>
      <c r="N25" s="10">
        <v>375.7</v>
      </c>
      <c r="O25" s="27" t="s">
        <v>35</v>
      </c>
      <c r="P25" s="12" t="s">
        <v>35</v>
      </c>
      <c r="Q25" s="55" t="str">
        <f>IF(AND(Dmart_sales_data[[#This Row],[customer_type2]]="Member",OR(Dmart_sales_data[[#This Row],[payment_mode]]="UPI",Dmart_sales_data[[#This Row],[payment_mode]]="Card")),"yes","No")</f>
        <v>No</v>
      </c>
      <c r="R25" s="1"/>
      <c r="S25" s="105" t="s">
        <v>643</v>
      </c>
      <c r="T25" s="106" cm="1">
        <f t="array" ref="T25">COUNTIF(sales,"&gt;4000")</f>
        <v>115</v>
      </c>
      <c r="U25" s="1"/>
      <c r="V25" s="1"/>
      <c r="W25" s="1"/>
      <c r="X25" s="1"/>
      <c r="Y25" s="1"/>
      <c r="Z25" s="1"/>
      <c r="AA25" s="1"/>
      <c r="AB25" s="1"/>
    </row>
    <row r="26" spans="1:28" ht="14.25" customHeight="1" x14ac:dyDescent="0.3">
      <c r="A26" s="13" t="s">
        <v>62</v>
      </c>
      <c r="B26" s="14" t="s">
        <v>13</v>
      </c>
      <c r="C26" s="4" t="s">
        <v>13</v>
      </c>
      <c r="D26" s="15" t="s">
        <v>25</v>
      </c>
      <c r="E26" s="15">
        <v>4868.5200000000004</v>
      </c>
      <c r="F26" s="5" t="str">
        <f>IF(Dmart_sales_data[[#This Row],[sales]]&gt;3000,"High Sales",IF(Dmart_sales_data[[#This Row],[sales]]&gt;1000,"Medium Sales","Low Sales"))</f>
        <v>High Sales</v>
      </c>
      <c r="G26" s="15">
        <v>0.4</v>
      </c>
      <c r="H26" s="15">
        <v>2</v>
      </c>
      <c r="I26" s="16">
        <v>45272</v>
      </c>
      <c r="J26" s="16">
        <v>45273</v>
      </c>
      <c r="K26" s="15" t="s">
        <v>20</v>
      </c>
      <c r="L26" s="15" t="s">
        <v>20</v>
      </c>
      <c r="M26" s="15" t="s">
        <v>26</v>
      </c>
      <c r="N26" s="15">
        <v>1072.26</v>
      </c>
      <c r="O26" s="27" t="s">
        <v>100</v>
      </c>
      <c r="P26" s="17" t="s">
        <v>63</v>
      </c>
      <c r="Q26" s="55" t="str">
        <f>IF(AND(Dmart_sales_data[[#This Row],[customer_type2]]="Member",OR(Dmart_sales_data[[#This Row],[payment_mode]]="UPI",Dmart_sales_data[[#This Row],[payment_mode]]="Card")),"yes","No")</f>
        <v>No</v>
      </c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</row>
    <row r="27" spans="1:28" ht="14.25" customHeight="1" x14ac:dyDescent="0.3">
      <c r="A27" s="8" t="s">
        <v>64</v>
      </c>
      <c r="B27" s="9" t="s">
        <v>576</v>
      </c>
      <c r="C27" s="9" t="s">
        <v>576</v>
      </c>
      <c r="D27" s="10" t="s">
        <v>34</v>
      </c>
      <c r="E27" s="10">
        <v>3904.68</v>
      </c>
      <c r="F27" s="5" t="str">
        <f>IF(Dmart_sales_data[[#This Row],[sales]]&gt;3000,"High Sales",IF(Dmart_sales_data[[#This Row],[sales]]&gt;1000,"Medium Sales","Low Sales"))</f>
        <v>High Sales</v>
      </c>
      <c r="G27" s="10">
        <v>0.41</v>
      </c>
      <c r="H27" s="10">
        <v>6</v>
      </c>
      <c r="I27" s="11">
        <v>45066</v>
      </c>
      <c r="J27" s="11">
        <v>45072</v>
      </c>
      <c r="K27" s="10" t="s">
        <v>20</v>
      </c>
      <c r="L27" s="10" t="s">
        <v>20</v>
      </c>
      <c r="M27" s="10" t="s">
        <v>21</v>
      </c>
      <c r="N27" s="10">
        <v>526.66</v>
      </c>
      <c r="O27" s="27" t="s">
        <v>100</v>
      </c>
      <c r="P27" s="12" t="s">
        <v>65</v>
      </c>
      <c r="Q27" s="55" t="str">
        <f>IF(AND(Dmart_sales_data[[#This Row],[customer_type2]]="Member",OR(Dmart_sales_data[[#This Row],[payment_mode]]="UPI",Dmart_sales_data[[#This Row],[payment_mode]]="Card")),"yes","No")</f>
        <v>No</v>
      </c>
      <c r="R27" s="1"/>
      <c r="U27" s="1"/>
      <c r="V27" s="1"/>
      <c r="W27" s="1"/>
      <c r="X27" s="1"/>
      <c r="Y27" s="1"/>
      <c r="Z27" s="1"/>
      <c r="AA27" s="1"/>
      <c r="AB27" s="1"/>
    </row>
    <row r="28" spans="1:28" ht="14.25" customHeight="1" thickBot="1" x14ac:dyDescent="0.35">
      <c r="A28" s="13" t="s">
        <v>66</v>
      </c>
      <c r="B28" s="14" t="s">
        <v>24</v>
      </c>
      <c r="C28" s="14" t="s">
        <v>24</v>
      </c>
      <c r="D28" s="15" t="s">
        <v>14</v>
      </c>
      <c r="E28" s="15">
        <v>1055.1400000000001</v>
      </c>
      <c r="F28" s="5" t="str">
        <f>IF(Dmart_sales_data[[#This Row],[sales]]&gt;3000,"High Sales",IF(Dmart_sales_data[[#This Row],[sales]]&gt;1000,"Medium Sales","Low Sales"))</f>
        <v>Medium Sales</v>
      </c>
      <c r="G28" s="15">
        <v>0.36</v>
      </c>
      <c r="H28" s="15">
        <v>8</v>
      </c>
      <c r="I28" s="16">
        <v>45462</v>
      </c>
      <c r="J28" s="16">
        <v>45468</v>
      </c>
      <c r="K28" s="15" t="s">
        <v>15</v>
      </c>
      <c r="L28" s="15" t="s">
        <v>15</v>
      </c>
      <c r="M28" s="15" t="s">
        <v>16</v>
      </c>
      <c r="N28" s="15">
        <v>207.61</v>
      </c>
      <c r="O28" s="27" t="s">
        <v>35</v>
      </c>
      <c r="P28" s="17" t="s">
        <v>58</v>
      </c>
      <c r="Q28" s="55" t="str">
        <f>IF(AND(Dmart_sales_data[[#This Row],[customer_type2]]="Member",OR(Dmart_sales_data[[#This Row],[payment_mode]]="UPI",Dmart_sales_data[[#This Row],[payment_mode]]="Card")),"yes","No")</f>
        <v>yes</v>
      </c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</row>
    <row r="29" spans="1:28" ht="14.25" customHeight="1" thickBot="1" x14ac:dyDescent="0.35">
      <c r="A29" s="8" t="s">
        <v>67</v>
      </c>
      <c r="B29" s="9" t="s">
        <v>29</v>
      </c>
      <c r="C29" s="9" t="s">
        <v>29</v>
      </c>
      <c r="D29" s="10" t="s">
        <v>14</v>
      </c>
      <c r="E29" s="10">
        <v>3578.05</v>
      </c>
      <c r="F29" s="5" t="str">
        <f>IF(Dmart_sales_data[[#This Row],[sales]]&gt;3000,"High Sales",IF(Dmart_sales_data[[#This Row],[sales]]&gt;1000,"Medium Sales","Low Sales"))</f>
        <v>High Sales</v>
      </c>
      <c r="G29" s="10">
        <v>0.04</v>
      </c>
      <c r="H29" s="10">
        <v>4</v>
      </c>
      <c r="I29" s="11">
        <v>45215</v>
      </c>
      <c r="J29" s="11">
        <v>45217</v>
      </c>
      <c r="K29" s="10" t="s">
        <v>32</v>
      </c>
      <c r="L29" s="10" t="s">
        <v>32</v>
      </c>
      <c r="M29" s="10" t="s">
        <v>21</v>
      </c>
      <c r="N29" s="10">
        <v>689.74</v>
      </c>
      <c r="O29" s="27" t="s">
        <v>41</v>
      </c>
      <c r="P29" s="12" t="s">
        <v>68</v>
      </c>
      <c r="Q29" s="55" t="str">
        <f>IF(AND(Dmart_sales_data[[#This Row],[customer_type2]]="Member",OR(Dmart_sales_data[[#This Row],[payment_mode]]="UPI",Dmart_sales_data[[#This Row],[payment_mode]]="Card")),"yes","No")</f>
        <v>No</v>
      </c>
      <c r="R29" s="1"/>
      <c r="S29" s="118" t="s">
        <v>648</v>
      </c>
      <c r="T29" s="86"/>
      <c r="U29" s="1"/>
      <c r="V29" s="1"/>
      <c r="W29" s="1"/>
      <c r="X29" s="1"/>
      <c r="Y29" s="1"/>
      <c r="Z29" s="1"/>
      <c r="AA29" s="1"/>
      <c r="AB29" s="1"/>
    </row>
    <row r="30" spans="1:28" ht="14.25" customHeight="1" x14ac:dyDescent="0.3">
      <c r="A30" s="13" t="s">
        <v>69</v>
      </c>
      <c r="B30" s="14" t="s">
        <v>13</v>
      </c>
      <c r="C30" s="4" t="s">
        <v>13</v>
      </c>
      <c r="D30" s="15" t="s">
        <v>25</v>
      </c>
      <c r="E30" s="15">
        <v>468.13</v>
      </c>
      <c r="F30" s="5" t="str">
        <f>IF(Dmart_sales_data[[#This Row],[sales]]&gt;3000,"High Sales",IF(Dmart_sales_data[[#This Row],[sales]]&gt;1000,"Medium Sales","Low Sales"))</f>
        <v>Low Sales</v>
      </c>
      <c r="G30" s="15">
        <v>0.17</v>
      </c>
      <c r="H30" s="15">
        <v>2</v>
      </c>
      <c r="I30" s="16">
        <v>45255</v>
      </c>
      <c r="J30" s="16">
        <v>45261</v>
      </c>
      <c r="K30" s="15" t="s">
        <v>15</v>
      </c>
      <c r="L30" s="15" t="s">
        <v>15</v>
      </c>
      <c r="M30" s="15" t="s">
        <v>16</v>
      </c>
      <c r="N30" s="15">
        <v>43.58</v>
      </c>
      <c r="O30" s="27" t="s">
        <v>41</v>
      </c>
      <c r="P30" s="17" t="s">
        <v>41</v>
      </c>
      <c r="Q30" s="55" t="str">
        <f>IF(AND(Dmart_sales_data[[#This Row],[customer_type2]]="Member",OR(Dmart_sales_data[[#This Row],[payment_mode]]="UPI",Dmart_sales_data[[#This Row],[payment_mode]]="Card")),"yes","No")</f>
        <v>yes</v>
      </c>
      <c r="R30" s="1"/>
      <c r="S30" s="97" t="s">
        <v>644</v>
      </c>
      <c r="T30" s="101" cm="1">
        <f t="array" ref="T30">COUNTIFS(sales,"&gt;4000",Region,"North")</f>
        <v>32</v>
      </c>
      <c r="U30" s="1"/>
      <c r="V30" s="1"/>
      <c r="W30" s="1"/>
      <c r="X30" s="1"/>
      <c r="Y30" s="1"/>
      <c r="Z30" s="1"/>
      <c r="AA30" s="1"/>
      <c r="AB30" s="1"/>
    </row>
    <row r="31" spans="1:28" ht="14.25" customHeight="1" x14ac:dyDescent="0.3">
      <c r="A31" s="8" t="s">
        <v>70</v>
      </c>
      <c r="B31" s="9" t="s">
        <v>576</v>
      </c>
      <c r="C31" s="9" t="s">
        <v>576</v>
      </c>
      <c r="D31" s="10" t="s">
        <v>14</v>
      </c>
      <c r="E31" s="10">
        <v>1658.02</v>
      </c>
      <c r="F31" s="5" t="str">
        <f>IF(Dmart_sales_data[[#This Row],[sales]]&gt;3000,"High Sales",IF(Dmart_sales_data[[#This Row],[sales]]&gt;1000,"Medium Sales","Low Sales"))</f>
        <v>Medium Sales</v>
      </c>
      <c r="G31" s="10">
        <v>0.02</v>
      </c>
      <c r="H31" s="10">
        <v>5</v>
      </c>
      <c r="I31" s="11">
        <v>45356</v>
      </c>
      <c r="J31" s="11">
        <v>45357</v>
      </c>
      <c r="K31" s="10" t="s">
        <v>32</v>
      </c>
      <c r="L31" s="10" t="s">
        <v>32</v>
      </c>
      <c r="M31" s="10" t="s">
        <v>26</v>
      </c>
      <c r="N31" s="10">
        <v>422.33</v>
      </c>
      <c r="O31" s="27" t="s">
        <v>35</v>
      </c>
      <c r="P31" s="12" t="s">
        <v>35</v>
      </c>
      <c r="Q31" s="55" t="str">
        <f>IF(AND(Dmart_sales_data[[#This Row],[customer_type2]]="Member",OR(Dmart_sales_data[[#This Row],[payment_mode]]="UPI",Dmart_sales_data[[#This Row],[payment_mode]]="Card")),"yes","No")</f>
        <v>No</v>
      </c>
      <c r="R31" s="1"/>
      <c r="S31" s="97" t="s">
        <v>645</v>
      </c>
      <c r="T31" s="101" cm="1">
        <f t="array" ref="T31">COUNTIFS(sales,"&gt;4000",Region,"East")</f>
        <v>29</v>
      </c>
      <c r="U31" s="1"/>
      <c r="V31" s="1"/>
      <c r="W31" s="1"/>
      <c r="X31" s="1"/>
      <c r="Y31" s="1"/>
      <c r="Z31" s="1"/>
      <c r="AA31" s="1"/>
      <c r="AB31" s="1"/>
    </row>
    <row r="32" spans="1:28" ht="14.25" customHeight="1" x14ac:dyDescent="0.3">
      <c r="A32" s="13" t="s">
        <v>71</v>
      </c>
      <c r="B32" s="14" t="s">
        <v>24</v>
      </c>
      <c r="C32" s="14" t="s">
        <v>24</v>
      </c>
      <c r="D32" s="15" t="s">
        <v>34</v>
      </c>
      <c r="E32" s="15">
        <v>667.46</v>
      </c>
      <c r="F32" s="5" t="str">
        <f>IF(Dmart_sales_data[[#This Row],[sales]]&gt;3000,"High Sales",IF(Dmart_sales_data[[#This Row],[sales]]&gt;1000,"Medium Sales","Low Sales"))</f>
        <v>Low Sales</v>
      </c>
      <c r="G32" s="15">
        <v>0.17</v>
      </c>
      <c r="H32" s="15">
        <v>3</v>
      </c>
      <c r="I32" s="16">
        <v>45026</v>
      </c>
      <c r="J32" s="16">
        <v>45031</v>
      </c>
      <c r="K32" s="15" t="s">
        <v>32</v>
      </c>
      <c r="L32" s="15" t="s">
        <v>32</v>
      </c>
      <c r="M32" s="15" t="s">
        <v>21</v>
      </c>
      <c r="N32" s="15">
        <v>123.49</v>
      </c>
      <c r="O32" s="27" t="s">
        <v>41</v>
      </c>
      <c r="P32" s="17" t="s">
        <v>68</v>
      </c>
      <c r="Q32" s="55" t="str">
        <f>IF(AND(Dmart_sales_data[[#This Row],[customer_type2]]="Member",OR(Dmart_sales_data[[#This Row],[payment_mode]]="UPI",Dmart_sales_data[[#This Row],[payment_mode]]="Card")),"yes","No")</f>
        <v>No</v>
      </c>
      <c r="R32" s="1"/>
      <c r="S32" s="97" t="s">
        <v>646</v>
      </c>
      <c r="T32" s="101" cm="1">
        <f t="array" ref="T32">COUNTIFS(sales,"&gt;4000",Region,"South")</f>
        <v>27</v>
      </c>
      <c r="U32" s="1"/>
      <c r="V32" s="1"/>
      <c r="W32" s="1"/>
      <c r="X32" s="1"/>
      <c r="Y32" s="1"/>
      <c r="Z32" s="1"/>
      <c r="AA32" s="1"/>
      <c r="AB32" s="1"/>
    </row>
    <row r="33" spans="1:28" ht="14.25" customHeight="1" thickBot="1" x14ac:dyDescent="0.35">
      <c r="A33" s="8" t="s">
        <v>72</v>
      </c>
      <c r="B33" s="9" t="s">
        <v>29</v>
      </c>
      <c r="C33" s="9" t="s">
        <v>29</v>
      </c>
      <c r="D33" s="10" t="s">
        <v>34</v>
      </c>
      <c r="E33" s="10">
        <v>4754.72</v>
      </c>
      <c r="F33" s="5" t="str">
        <f>IF(Dmart_sales_data[[#This Row],[sales]]&gt;3000,"High Sales",IF(Dmart_sales_data[[#This Row],[sales]]&gt;1000,"Medium Sales","Low Sales"))</f>
        <v>High Sales</v>
      </c>
      <c r="G33" s="10">
        <v>0.32</v>
      </c>
      <c r="H33" s="10">
        <v>5</v>
      </c>
      <c r="I33" s="11">
        <v>45527</v>
      </c>
      <c r="J33" s="11">
        <v>45531</v>
      </c>
      <c r="K33" s="10" t="s">
        <v>32</v>
      </c>
      <c r="L33" s="10" t="s">
        <v>32</v>
      </c>
      <c r="M33" s="10" t="s">
        <v>26</v>
      </c>
      <c r="N33" s="10">
        <v>697.03</v>
      </c>
      <c r="O33" s="27" t="s">
        <v>17</v>
      </c>
      <c r="P33" s="12" t="s">
        <v>17</v>
      </c>
      <c r="Q33" s="55" t="str">
        <f>IF(AND(Dmart_sales_data[[#This Row],[customer_type2]]="Member",OR(Dmart_sales_data[[#This Row],[payment_mode]]="UPI",Dmart_sales_data[[#This Row],[payment_mode]]="Card")),"yes","No")</f>
        <v>No</v>
      </c>
      <c r="R33" s="1"/>
      <c r="S33" s="99" t="s">
        <v>647</v>
      </c>
      <c r="T33" s="104" cm="1">
        <f t="array" ref="T33">COUNTIFS(sales,"&gt;4000",Region,"West")</f>
        <v>27</v>
      </c>
      <c r="U33" s="1"/>
      <c r="V33" s="1"/>
      <c r="W33" s="1"/>
      <c r="X33" s="1"/>
      <c r="Y33" s="1"/>
      <c r="Z33" s="1"/>
      <c r="AA33" s="1"/>
      <c r="AB33" s="1"/>
    </row>
    <row r="34" spans="1:28" ht="14.25" customHeight="1" x14ac:dyDescent="0.3">
      <c r="A34" s="13" t="s">
        <v>73</v>
      </c>
      <c r="B34" s="14" t="s">
        <v>13</v>
      </c>
      <c r="C34" s="4" t="s">
        <v>13</v>
      </c>
      <c r="D34" s="15" t="s">
        <v>14</v>
      </c>
      <c r="E34" s="15">
        <v>1759.9</v>
      </c>
      <c r="F34" s="5" t="str">
        <f>IF(Dmart_sales_data[[#This Row],[sales]]&gt;3000,"High Sales",IF(Dmart_sales_data[[#This Row],[sales]]&gt;1000,"Medium Sales","Low Sales"))</f>
        <v>Medium Sales</v>
      </c>
      <c r="G34" s="15">
        <v>0.26</v>
      </c>
      <c r="H34" s="15">
        <v>3</v>
      </c>
      <c r="I34" s="16">
        <v>44933</v>
      </c>
      <c r="J34" s="16">
        <v>44939</v>
      </c>
      <c r="K34" s="15" t="s">
        <v>20</v>
      </c>
      <c r="L34" s="15" t="s">
        <v>20</v>
      </c>
      <c r="M34" s="15" t="s">
        <v>26</v>
      </c>
      <c r="N34" s="15">
        <v>178.58</v>
      </c>
      <c r="O34" s="27" t="s">
        <v>79</v>
      </c>
      <c r="P34" s="17" t="s">
        <v>55</v>
      </c>
      <c r="Q34" s="55" t="str">
        <f>IF(AND(Dmart_sales_data[[#This Row],[customer_type2]]="Member",OR(Dmart_sales_data[[#This Row],[payment_mode]]="UPI",Dmart_sales_data[[#This Row],[payment_mode]]="Card")),"yes","No")</f>
        <v>No</v>
      </c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</row>
    <row r="35" spans="1:28" ht="14.25" customHeight="1" thickBot="1" x14ac:dyDescent="0.35">
      <c r="A35" s="8" t="s">
        <v>74</v>
      </c>
      <c r="B35" s="9" t="s">
        <v>576</v>
      </c>
      <c r="C35" s="9" t="s">
        <v>576</v>
      </c>
      <c r="D35" s="10" t="s">
        <v>14</v>
      </c>
      <c r="E35" s="10">
        <v>3594.76</v>
      </c>
      <c r="F35" s="5" t="str">
        <f>IF(Dmart_sales_data[[#This Row],[sales]]&gt;3000,"High Sales",IF(Dmart_sales_data[[#This Row],[sales]]&gt;1000,"Medium Sales","Low Sales"))</f>
        <v>High Sales</v>
      </c>
      <c r="G35" s="10">
        <v>0.35</v>
      </c>
      <c r="H35" s="10">
        <v>4</v>
      </c>
      <c r="I35" s="11">
        <v>45097</v>
      </c>
      <c r="J35" s="11">
        <v>45099</v>
      </c>
      <c r="K35" s="10" t="s">
        <v>32</v>
      </c>
      <c r="L35" s="10" t="s">
        <v>32</v>
      </c>
      <c r="M35" s="10" t="s">
        <v>16</v>
      </c>
      <c r="N35" s="10">
        <v>1002.97</v>
      </c>
      <c r="O35" s="27" t="s">
        <v>27</v>
      </c>
      <c r="P35" s="12" t="s">
        <v>27</v>
      </c>
      <c r="Q35" s="55" t="str">
        <f>IF(AND(Dmart_sales_data[[#This Row],[customer_type2]]="Member",OR(Dmart_sales_data[[#This Row],[payment_mode]]="UPI",Dmart_sales_data[[#This Row],[payment_mode]]="Card")),"yes","No")</f>
        <v>No</v>
      </c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</row>
    <row r="36" spans="1:28" ht="14.25" customHeight="1" thickBot="1" x14ac:dyDescent="0.35">
      <c r="A36" s="13" t="s">
        <v>75</v>
      </c>
      <c r="B36" s="14" t="s">
        <v>24</v>
      </c>
      <c r="C36" s="14" t="s">
        <v>24</v>
      </c>
      <c r="D36" s="15" t="s">
        <v>37</v>
      </c>
      <c r="E36" s="15">
        <v>2899.46</v>
      </c>
      <c r="F36" s="5" t="str">
        <f>IF(Dmart_sales_data[[#This Row],[sales]]&gt;3000,"High Sales",IF(Dmart_sales_data[[#This Row],[sales]]&gt;1000,"Medium Sales","Low Sales"))</f>
        <v>Medium Sales</v>
      </c>
      <c r="G36" s="15">
        <v>0.28000000000000003</v>
      </c>
      <c r="H36" s="15">
        <v>5</v>
      </c>
      <c r="I36" s="16">
        <v>45189</v>
      </c>
      <c r="J36" s="16">
        <v>45190</v>
      </c>
      <c r="K36" s="15" t="s">
        <v>20</v>
      </c>
      <c r="L36" s="15" t="s">
        <v>20</v>
      </c>
      <c r="M36" s="15" t="s">
        <v>26</v>
      </c>
      <c r="N36" s="15">
        <v>320.43</v>
      </c>
      <c r="O36" s="27" t="s">
        <v>17</v>
      </c>
      <c r="P36" s="17" t="s">
        <v>17</v>
      </c>
      <c r="Q36" s="55" t="str">
        <f>IF(AND(Dmart_sales_data[[#This Row],[customer_type2]]="Member",OR(Dmart_sales_data[[#This Row],[payment_mode]]="UPI",Dmart_sales_data[[#This Row],[payment_mode]]="Card")),"yes","No")</f>
        <v>No</v>
      </c>
      <c r="R36" s="1"/>
      <c r="S36" s="120" t="s">
        <v>649</v>
      </c>
      <c r="T36" s="121" cm="1">
        <f t="array" ref="T36">COUNTIFS(customer_type,"Member",payment_mode,"Card") + COUNTIFS(customer_type,"Member",payment_mode,"UPI")</f>
        <v>97</v>
      </c>
      <c r="U36" s="1"/>
      <c r="V36" s="1"/>
      <c r="W36" s="1"/>
      <c r="X36" s="1"/>
      <c r="Y36" s="1"/>
      <c r="Z36" s="1"/>
      <c r="AA36" s="1"/>
      <c r="AB36" s="1"/>
    </row>
    <row r="37" spans="1:28" ht="14.25" customHeight="1" x14ac:dyDescent="0.3">
      <c r="A37" s="8" t="s">
        <v>76</v>
      </c>
      <c r="B37" s="9" t="s">
        <v>29</v>
      </c>
      <c r="C37" s="9" t="s">
        <v>29</v>
      </c>
      <c r="D37" s="10" t="s">
        <v>19</v>
      </c>
      <c r="E37" s="10">
        <v>626.80999999999995</v>
      </c>
      <c r="F37" s="5" t="str">
        <f>IF(Dmart_sales_data[[#This Row],[sales]]&gt;3000,"High Sales",IF(Dmart_sales_data[[#This Row],[sales]]&gt;1000,"Medium Sales","Low Sales"))</f>
        <v>Low Sales</v>
      </c>
      <c r="G37" s="10">
        <v>0.28000000000000003</v>
      </c>
      <c r="H37" s="10">
        <v>7</v>
      </c>
      <c r="I37" s="11">
        <v>45298</v>
      </c>
      <c r="J37" s="11">
        <v>45303</v>
      </c>
      <c r="K37" s="10" t="s">
        <v>20</v>
      </c>
      <c r="L37" s="10" t="s">
        <v>20</v>
      </c>
      <c r="M37" s="10" t="s">
        <v>16</v>
      </c>
      <c r="N37" s="10">
        <v>177.84</v>
      </c>
      <c r="O37" s="27" t="s">
        <v>79</v>
      </c>
      <c r="P37" s="12" t="s">
        <v>55</v>
      </c>
      <c r="Q37" s="55" t="str">
        <f>IF(AND(Dmart_sales_data[[#This Row],[customer_type2]]="Member",OR(Dmart_sales_data[[#This Row],[payment_mode]]="UPI",Dmart_sales_data[[#This Row],[payment_mode]]="Card")),"yes","No")</f>
        <v>No</v>
      </c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</row>
    <row r="38" spans="1:28" ht="14.25" customHeight="1" x14ac:dyDescent="0.3">
      <c r="A38" s="13" t="s">
        <v>77</v>
      </c>
      <c r="B38" s="14" t="s">
        <v>13</v>
      </c>
      <c r="C38" s="4" t="s">
        <v>13</v>
      </c>
      <c r="D38" s="15" t="s">
        <v>25</v>
      </c>
      <c r="E38" s="15">
        <v>2850.59</v>
      </c>
      <c r="F38" s="5" t="str">
        <f>IF(Dmart_sales_data[[#This Row],[sales]]&gt;3000,"High Sales",IF(Dmart_sales_data[[#This Row],[sales]]&gt;1000,"Medium Sales","Low Sales"))</f>
        <v>Medium Sales</v>
      </c>
      <c r="G38" s="15">
        <v>0.26</v>
      </c>
      <c r="H38" s="15">
        <v>2</v>
      </c>
      <c r="I38" s="16">
        <v>45470</v>
      </c>
      <c r="J38" s="16">
        <v>45474</v>
      </c>
      <c r="K38" s="15" t="s">
        <v>20</v>
      </c>
      <c r="L38" s="15" t="s">
        <v>20</v>
      </c>
      <c r="M38" s="15" t="s">
        <v>21</v>
      </c>
      <c r="N38" s="15">
        <v>528.38</v>
      </c>
      <c r="O38" s="27" t="s">
        <v>17</v>
      </c>
      <c r="P38" s="17" t="s">
        <v>17</v>
      </c>
      <c r="Q38" s="55" t="str">
        <f>IF(AND(Dmart_sales_data[[#This Row],[customer_type2]]="Member",OR(Dmart_sales_data[[#This Row],[payment_mode]]="UPI",Dmart_sales_data[[#This Row],[payment_mode]]="Card")),"yes","No")</f>
        <v>No</v>
      </c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</row>
    <row r="39" spans="1:28" ht="14.25" customHeight="1" x14ac:dyDescent="0.3">
      <c r="A39" s="8" t="s">
        <v>78</v>
      </c>
      <c r="B39" s="9" t="s">
        <v>576</v>
      </c>
      <c r="C39" s="9" t="s">
        <v>576</v>
      </c>
      <c r="D39" s="10" t="s">
        <v>34</v>
      </c>
      <c r="E39" s="10">
        <v>3339.02</v>
      </c>
      <c r="F39" s="5" t="str">
        <f>IF(Dmart_sales_data[[#This Row],[sales]]&gt;3000,"High Sales",IF(Dmart_sales_data[[#This Row],[sales]]&gt;1000,"Medium Sales","Low Sales"))</f>
        <v>High Sales</v>
      </c>
      <c r="G39" s="10">
        <v>0.18</v>
      </c>
      <c r="H39" s="10">
        <v>6</v>
      </c>
      <c r="I39" s="11">
        <v>45651</v>
      </c>
      <c r="J39" s="11">
        <v>45652</v>
      </c>
      <c r="K39" s="10" t="s">
        <v>15</v>
      </c>
      <c r="L39" s="10" t="s">
        <v>15</v>
      </c>
      <c r="M39" s="10" t="s">
        <v>26</v>
      </c>
      <c r="N39" s="10">
        <v>586.69000000000005</v>
      </c>
      <c r="O39" s="27" t="s">
        <v>79</v>
      </c>
      <c r="P39" s="12" t="s">
        <v>79</v>
      </c>
      <c r="Q39" s="55" t="str">
        <f>IF(AND(Dmart_sales_data[[#This Row],[customer_type2]]="Member",OR(Dmart_sales_data[[#This Row],[payment_mode]]="UPI",Dmart_sales_data[[#This Row],[payment_mode]]="Card")),"yes","No")</f>
        <v>No</v>
      </c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</row>
    <row r="40" spans="1:28" ht="14.25" customHeight="1" x14ac:dyDescent="0.3">
      <c r="A40" s="13" t="s">
        <v>80</v>
      </c>
      <c r="B40" s="14" t="s">
        <v>24</v>
      </c>
      <c r="C40" s="14" t="s">
        <v>24</v>
      </c>
      <c r="D40" s="15" t="s">
        <v>25</v>
      </c>
      <c r="E40" s="15">
        <v>4419.43</v>
      </c>
      <c r="F40" s="5" t="str">
        <f>IF(Dmart_sales_data[[#This Row],[sales]]&gt;3000,"High Sales",IF(Dmart_sales_data[[#This Row],[sales]]&gt;1000,"Medium Sales","Low Sales"))</f>
        <v>High Sales</v>
      </c>
      <c r="G40" s="15">
        <v>0.22</v>
      </c>
      <c r="H40" s="15">
        <v>6</v>
      </c>
      <c r="I40" s="16">
        <v>45423</v>
      </c>
      <c r="J40" s="16">
        <v>45426</v>
      </c>
      <c r="K40" s="15" t="s">
        <v>32</v>
      </c>
      <c r="L40" s="15" t="s">
        <v>32</v>
      </c>
      <c r="M40" s="15" t="s">
        <v>16</v>
      </c>
      <c r="N40" s="15">
        <v>742.22</v>
      </c>
      <c r="O40" s="27" t="s">
        <v>35</v>
      </c>
      <c r="P40" s="17" t="s">
        <v>35</v>
      </c>
      <c r="Q40" s="55" t="str">
        <f>IF(AND(Dmart_sales_data[[#This Row],[customer_type2]]="Member",OR(Dmart_sales_data[[#This Row],[payment_mode]]="UPI",Dmart_sales_data[[#This Row],[payment_mode]]="Card")),"yes","No")</f>
        <v>No</v>
      </c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</row>
    <row r="41" spans="1:28" ht="14.25" customHeight="1" x14ac:dyDescent="0.3">
      <c r="A41" s="8" t="s">
        <v>81</v>
      </c>
      <c r="B41" s="9" t="s">
        <v>29</v>
      </c>
      <c r="C41" s="9" t="s">
        <v>29</v>
      </c>
      <c r="D41" s="10" t="s">
        <v>37</v>
      </c>
      <c r="E41" s="10">
        <v>443.42</v>
      </c>
      <c r="F41" s="5" t="str">
        <f>IF(Dmart_sales_data[[#This Row],[sales]]&gt;3000,"High Sales",IF(Dmart_sales_data[[#This Row],[sales]]&gt;1000,"Medium Sales","Low Sales"))</f>
        <v>Low Sales</v>
      </c>
      <c r="G41" s="10">
        <v>0.06</v>
      </c>
      <c r="H41" s="10">
        <v>6</v>
      </c>
      <c r="I41" s="11">
        <v>44985</v>
      </c>
      <c r="J41" s="11">
        <v>44990</v>
      </c>
      <c r="K41" s="10" t="s">
        <v>15</v>
      </c>
      <c r="L41" s="10" t="s">
        <v>15</v>
      </c>
      <c r="M41" s="10" t="s">
        <v>21</v>
      </c>
      <c r="N41" s="10">
        <v>119.91</v>
      </c>
      <c r="O41" s="27" t="s">
        <v>27</v>
      </c>
      <c r="P41" s="12" t="s">
        <v>39</v>
      </c>
      <c r="Q41" s="55" t="str">
        <f>IF(AND(Dmart_sales_data[[#This Row],[customer_type2]]="Member",OR(Dmart_sales_data[[#This Row],[payment_mode]]="UPI",Dmart_sales_data[[#This Row],[payment_mode]]="Card")),"yes","No")</f>
        <v>yes</v>
      </c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</row>
    <row r="42" spans="1:28" ht="14.25" customHeight="1" x14ac:dyDescent="0.3">
      <c r="A42" s="13" t="s">
        <v>82</v>
      </c>
      <c r="B42" s="14" t="s">
        <v>13</v>
      </c>
      <c r="C42" s="4" t="s">
        <v>13</v>
      </c>
      <c r="D42" s="15" t="s">
        <v>34</v>
      </c>
      <c r="E42" s="15">
        <v>1548.61</v>
      </c>
      <c r="F42" s="5" t="str">
        <f>IF(Dmart_sales_data[[#This Row],[sales]]&gt;3000,"High Sales",IF(Dmart_sales_data[[#This Row],[sales]]&gt;1000,"Medium Sales","Low Sales"))</f>
        <v>Medium Sales</v>
      </c>
      <c r="G42" s="15">
        <v>0.42</v>
      </c>
      <c r="H42" s="15">
        <v>7</v>
      </c>
      <c r="I42" s="16">
        <v>45261</v>
      </c>
      <c r="J42" s="16">
        <v>45263</v>
      </c>
      <c r="K42" s="15" t="s">
        <v>20</v>
      </c>
      <c r="L42" s="15" t="s">
        <v>20</v>
      </c>
      <c r="M42" s="15" t="s">
        <v>26</v>
      </c>
      <c r="N42" s="15">
        <v>392.57</v>
      </c>
      <c r="O42" s="27" t="s">
        <v>79</v>
      </c>
      <c r="P42" s="17" t="s">
        <v>79</v>
      </c>
      <c r="Q42" s="55" t="str">
        <f>IF(AND(Dmart_sales_data[[#This Row],[customer_type2]]="Member",OR(Dmart_sales_data[[#This Row],[payment_mode]]="UPI",Dmart_sales_data[[#This Row],[payment_mode]]="Card")),"yes","No")</f>
        <v>No</v>
      </c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</row>
    <row r="43" spans="1:28" ht="14.25" customHeight="1" x14ac:dyDescent="0.3">
      <c r="A43" s="8" t="s">
        <v>83</v>
      </c>
      <c r="B43" s="9" t="s">
        <v>576</v>
      </c>
      <c r="C43" s="9" t="s">
        <v>576</v>
      </c>
      <c r="D43" s="10" t="s">
        <v>37</v>
      </c>
      <c r="E43" s="10">
        <v>3492.47</v>
      </c>
      <c r="F43" s="5" t="str">
        <f>IF(Dmart_sales_data[[#This Row],[sales]]&gt;3000,"High Sales",IF(Dmart_sales_data[[#This Row],[sales]]&gt;1000,"Medium Sales","Low Sales"))</f>
        <v>High Sales</v>
      </c>
      <c r="G43" s="10">
        <v>0.44</v>
      </c>
      <c r="H43" s="10">
        <v>3</v>
      </c>
      <c r="I43" s="11">
        <v>44956</v>
      </c>
      <c r="J43" s="11">
        <v>44957</v>
      </c>
      <c r="K43" s="10" t="s">
        <v>15</v>
      </c>
      <c r="L43" s="10" t="s">
        <v>15</v>
      </c>
      <c r="M43" s="10" t="s">
        <v>21</v>
      </c>
      <c r="N43" s="10">
        <v>765.08</v>
      </c>
      <c r="O43" s="27" t="s">
        <v>41</v>
      </c>
      <c r="P43" s="12" t="s">
        <v>68</v>
      </c>
      <c r="Q43" s="55" t="str">
        <f>IF(AND(Dmart_sales_data[[#This Row],[customer_type2]]="Member",OR(Dmart_sales_data[[#This Row],[payment_mode]]="UPI",Dmart_sales_data[[#This Row],[payment_mode]]="Card")),"yes","No")</f>
        <v>yes</v>
      </c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</row>
    <row r="44" spans="1:28" ht="14.25" customHeight="1" x14ac:dyDescent="0.3">
      <c r="A44" s="13" t="s">
        <v>84</v>
      </c>
      <c r="B44" s="14" t="s">
        <v>24</v>
      </c>
      <c r="C44" s="14" t="s">
        <v>24</v>
      </c>
      <c r="D44" s="15" t="s">
        <v>37</v>
      </c>
      <c r="E44" s="15">
        <v>268.23</v>
      </c>
      <c r="F44" s="5" t="str">
        <f>IF(Dmart_sales_data[[#This Row],[sales]]&gt;3000,"High Sales",IF(Dmart_sales_data[[#This Row],[sales]]&gt;1000,"Medium Sales","Low Sales"))</f>
        <v>Low Sales</v>
      </c>
      <c r="G44" s="15">
        <v>0.38</v>
      </c>
      <c r="H44" s="15">
        <v>5</v>
      </c>
      <c r="I44" s="16">
        <v>45186</v>
      </c>
      <c r="J44" s="16">
        <v>45188</v>
      </c>
      <c r="K44" s="15" t="s">
        <v>20</v>
      </c>
      <c r="L44" s="15" t="s">
        <v>20</v>
      </c>
      <c r="M44" s="15" t="s">
        <v>26</v>
      </c>
      <c r="N44" s="15">
        <v>48.54</v>
      </c>
      <c r="O44" s="27" t="s">
        <v>41</v>
      </c>
      <c r="P44" s="17" t="s">
        <v>68</v>
      </c>
      <c r="Q44" s="55" t="str">
        <f>IF(AND(Dmart_sales_data[[#This Row],[customer_type2]]="Member",OR(Dmart_sales_data[[#This Row],[payment_mode]]="UPI",Dmart_sales_data[[#This Row],[payment_mode]]="Card")),"yes","No")</f>
        <v>No</v>
      </c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</row>
    <row r="45" spans="1:28" ht="14.25" customHeight="1" x14ac:dyDescent="0.3">
      <c r="A45" s="8" t="s">
        <v>85</v>
      </c>
      <c r="B45" s="9" t="s">
        <v>29</v>
      </c>
      <c r="C45" s="9" t="s">
        <v>29</v>
      </c>
      <c r="D45" s="10" t="s">
        <v>14</v>
      </c>
      <c r="E45" s="10">
        <v>1097.4100000000001</v>
      </c>
      <c r="F45" s="5" t="str">
        <f>IF(Dmart_sales_data[[#This Row],[sales]]&gt;3000,"High Sales",IF(Dmart_sales_data[[#This Row],[sales]]&gt;1000,"Medium Sales","Low Sales"))</f>
        <v>Medium Sales</v>
      </c>
      <c r="G45" s="10">
        <v>0.28999999999999998</v>
      </c>
      <c r="H45" s="10">
        <v>9</v>
      </c>
      <c r="I45" s="11">
        <v>45472</v>
      </c>
      <c r="J45" s="11">
        <v>45475</v>
      </c>
      <c r="K45" s="10" t="s">
        <v>15</v>
      </c>
      <c r="L45" s="10" t="s">
        <v>15</v>
      </c>
      <c r="M45" s="10" t="s">
        <v>26</v>
      </c>
      <c r="N45" s="10">
        <v>235.05</v>
      </c>
      <c r="O45" s="27" t="s">
        <v>41</v>
      </c>
      <c r="P45" s="12" t="s">
        <v>41</v>
      </c>
      <c r="Q45" s="55" t="str">
        <f>IF(AND(Dmart_sales_data[[#This Row],[customer_type2]]="Member",OR(Dmart_sales_data[[#This Row],[payment_mode]]="UPI",Dmart_sales_data[[#This Row],[payment_mode]]="Card")),"yes","No")</f>
        <v>No</v>
      </c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</row>
    <row r="46" spans="1:28" ht="14.25" customHeight="1" x14ac:dyDescent="0.3">
      <c r="A46" s="13" t="s">
        <v>86</v>
      </c>
      <c r="B46" s="14" t="s">
        <v>13</v>
      </c>
      <c r="C46" s="4" t="s">
        <v>13</v>
      </c>
      <c r="D46" s="15" t="s">
        <v>25</v>
      </c>
      <c r="E46" s="15">
        <v>1171.48</v>
      </c>
      <c r="F46" s="5" t="str">
        <f>IF(Dmart_sales_data[[#This Row],[sales]]&gt;3000,"High Sales",IF(Dmart_sales_data[[#This Row],[sales]]&gt;1000,"Medium Sales","Low Sales"))</f>
        <v>Medium Sales</v>
      </c>
      <c r="G46" s="15">
        <v>0.28000000000000003</v>
      </c>
      <c r="H46" s="15">
        <v>9</v>
      </c>
      <c r="I46" s="16">
        <v>45063</v>
      </c>
      <c r="J46" s="16">
        <v>45065</v>
      </c>
      <c r="K46" s="15" t="s">
        <v>20</v>
      </c>
      <c r="L46" s="15" t="s">
        <v>20</v>
      </c>
      <c r="M46" s="15" t="s">
        <v>21</v>
      </c>
      <c r="N46" s="15">
        <v>129.80000000000001</v>
      </c>
      <c r="O46" s="27" t="s">
        <v>41</v>
      </c>
      <c r="P46" s="17" t="s">
        <v>41</v>
      </c>
      <c r="Q46" s="55" t="str">
        <f>IF(AND(Dmart_sales_data[[#This Row],[customer_type2]]="Member",OR(Dmart_sales_data[[#This Row],[payment_mode]]="UPI",Dmart_sales_data[[#This Row],[payment_mode]]="Card")),"yes","No")</f>
        <v>No</v>
      </c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</row>
    <row r="47" spans="1:28" ht="14.25" customHeight="1" x14ac:dyDescent="0.3">
      <c r="A47" s="8" t="s">
        <v>87</v>
      </c>
      <c r="B47" s="9" t="s">
        <v>576</v>
      </c>
      <c r="C47" s="9" t="s">
        <v>576</v>
      </c>
      <c r="D47" s="10" t="s">
        <v>25</v>
      </c>
      <c r="E47" s="10">
        <v>3379.7</v>
      </c>
      <c r="F47" s="5" t="str">
        <f>IF(Dmart_sales_data[[#This Row],[sales]]&gt;3000,"High Sales",IF(Dmart_sales_data[[#This Row],[sales]]&gt;1000,"Medium Sales","Low Sales"))</f>
        <v>High Sales</v>
      </c>
      <c r="G47" s="10">
        <v>0.24</v>
      </c>
      <c r="H47" s="10">
        <v>7</v>
      </c>
      <c r="I47" s="11">
        <v>45242</v>
      </c>
      <c r="J47" s="11">
        <v>45247</v>
      </c>
      <c r="K47" s="10" t="s">
        <v>20</v>
      </c>
      <c r="L47" s="10" t="s">
        <v>20</v>
      </c>
      <c r="M47" s="10" t="s">
        <v>26</v>
      </c>
      <c r="N47" s="10">
        <v>588.79</v>
      </c>
      <c r="O47" s="27" t="s">
        <v>17</v>
      </c>
      <c r="P47" s="12" t="s">
        <v>17</v>
      </c>
      <c r="Q47" s="55" t="str">
        <f>IF(AND(Dmart_sales_data[[#This Row],[customer_type2]]="Member",OR(Dmart_sales_data[[#This Row],[payment_mode]]="UPI",Dmart_sales_data[[#This Row],[payment_mode]]="Card")),"yes","No")</f>
        <v>No</v>
      </c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</row>
    <row r="48" spans="1:28" ht="14.25" customHeight="1" x14ac:dyDescent="0.3">
      <c r="A48" s="13" t="s">
        <v>88</v>
      </c>
      <c r="B48" s="14" t="s">
        <v>24</v>
      </c>
      <c r="C48" s="14" t="s">
        <v>24</v>
      </c>
      <c r="D48" s="15" t="s">
        <v>14</v>
      </c>
      <c r="E48" s="15">
        <v>1501.21</v>
      </c>
      <c r="F48" s="5" t="str">
        <f>IF(Dmart_sales_data[[#This Row],[sales]]&gt;3000,"High Sales",IF(Dmart_sales_data[[#This Row],[sales]]&gt;1000,"Medium Sales","Low Sales"))</f>
        <v>Medium Sales</v>
      </c>
      <c r="G48" s="15">
        <v>0.12</v>
      </c>
      <c r="H48" s="15">
        <v>9</v>
      </c>
      <c r="I48" s="16">
        <v>45386</v>
      </c>
      <c r="J48" s="16">
        <v>45390</v>
      </c>
      <c r="K48" s="15" t="s">
        <v>15</v>
      </c>
      <c r="L48" s="15" t="s">
        <v>15</v>
      </c>
      <c r="M48" s="15" t="s">
        <v>21</v>
      </c>
      <c r="N48" s="15">
        <v>127.89</v>
      </c>
      <c r="O48" s="27" t="s">
        <v>17</v>
      </c>
      <c r="P48" s="17" t="s">
        <v>52</v>
      </c>
      <c r="Q48" s="55" t="str">
        <f>IF(AND(Dmart_sales_data[[#This Row],[customer_type2]]="Member",OR(Dmart_sales_data[[#This Row],[payment_mode]]="UPI",Dmart_sales_data[[#This Row],[payment_mode]]="Card")),"yes","No")</f>
        <v>yes</v>
      </c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</row>
    <row r="49" spans="1:28" ht="14.25" customHeight="1" x14ac:dyDescent="0.3">
      <c r="A49" s="8" t="s">
        <v>89</v>
      </c>
      <c r="B49" s="9" t="s">
        <v>29</v>
      </c>
      <c r="C49" s="9" t="s">
        <v>29</v>
      </c>
      <c r="D49" s="10" t="s">
        <v>25</v>
      </c>
      <c r="E49" s="10">
        <v>3038.02</v>
      </c>
      <c r="F49" s="5" t="str">
        <f>IF(Dmart_sales_data[[#This Row],[sales]]&gt;3000,"High Sales",IF(Dmart_sales_data[[#This Row],[sales]]&gt;1000,"Medium Sales","Low Sales"))</f>
        <v>High Sales</v>
      </c>
      <c r="G49" s="10">
        <v>0.19</v>
      </c>
      <c r="H49" s="10">
        <v>3</v>
      </c>
      <c r="I49" s="11">
        <v>45334</v>
      </c>
      <c r="J49" s="11">
        <v>45341</v>
      </c>
      <c r="K49" s="10" t="s">
        <v>20</v>
      </c>
      <c r="L49" s="10" t="s">
        <v>20</v>
      </c>
      <c r="M49" s="10" t="s">
        <v>26</v>
      </c>
      <c r="N49" s="10">
        <v>249.34</v>
      </c>
      <c r="O49" s="27" t="s">
        <v>35</v>
      </c>
      <c r="P49" s="12" t="s">
        <v>30</v>
      </c>
      <c r="Q49" s="55" t="str">
        <f>IF(AND(Dmart_sales_data[[#This Row],[customer_type2]]="Member",OR(Dmart_sales_data[[#This Row],[payment_mode]]="UPI",Dmart_sales_data[[#This Row],[payment_mode]]="Card")),"yes","No")</f>
        <v>No</v>
      </c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</row>
    <row r="50" spans="1:28" ht="14.25" customHeight="1" x14ac:dyDescent="0.3">
      <c r="A50" s="13" t="s">
        <v>90</v>
      </c>
      <c r="B50" s="14" t="s">
        <v>13</v>
      </c>
      <c r="C50" s="4" t="s">
        <v>13</v>
      </c>
      <c r="D50" s="15" t="s">
        <v>14</v>
      </c>
      <c r="E50" s="15">
        <v>4830.21</v>
      </c>
      <c r="F50" s="5" t="str">
        <f>IF(Dmart_sales_data[[#This Row],[sales]]&gt;3000,"High Sales",IF(Dmart_sales_data[[#This Row],[sales]]&gt;1000,"Medium Sales","Low Sales"))</f>
        <v>High Sales</v>
      </c>
      <c r="G50" s="15">
        <v>0.49</v>
      </c>
      <c r="H50" s="15">
        <v>7</v>
      </c>
      <c r="I50" s="16">
        <v>45553</v>
      </c>
      <c r="J50" s="16">
        <v>45560</v>
      </c>
      <c r="K50" s="15" t="s">
        <v>32</v>
      </c>
      <c r="L50" s="15" t="s">
        <v>32</v>
      </c>
      <c r="M50" s="15" t="s">
        <v>26</v>
      </c>
      <c r="N50" s="15">
        <v>1097.26</v>
      </c>
      <c r="O50" s="27" t="s">
        <v>35</v>
      </c>
      <c r="P50" s="17" t="s">
        <v>58</v>
      </c>
      <c r="Q50" s="55" t="str">
        <f>IF(AND(Dmart_sales_data[[#This Row],[customer_type2]]="Member",OR(Dmart_sales_data[[#This Row],[payment_mode]]="UPI",Dmart_sales_data[[#This Row],[payment_mode]]="Card")),"yes","No")</f>
        <v>No</v>
      </c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</row>
    <row r="51" spans="1:28" ht="14.25" customHeight="1" x14ac:dyDescent="0.3">
      <c r="A51" s="8" t="s">
        <v>91</v>
      </c>
      <c r="B51" s="9" t="s">
        <v>576</v>
      </c>
      <c r="C51" s="9" t="s">
        <v>576</v>
      </c>
      <c r="D51" s="10" t="s">
        <v>34</v>
      </c>
      <c r="E51" s="10">
        <v>3986.89</v>
      </c>
      <c r="F51" s="5" t="str">
        <f>IF(Dmart_sales_data[[#This Row],[sales]]&gt;3000,"High Sales",IF(Dmart_sales_data[[#This Row],[sales]]&gt;1000,"Medium Sales","Low Sales"))</f>
        <v>High Sales</v>
      </c>
      <c r="G51" s="10">
        <v>7.0000000000000007E-2</v>
      </c>
      <c r="H51" s="10">
        <v>1</v>
      </c>
      <c r="I51" s="11">
        <v>45109</v>
      </c>
      <c r="J51" s="11">
        <v>45110</v>
      </c>
      <c r="K51" s="10" t="s">
        <v>15</v>
      </c>
      <c r="L51" s="10" t="s">
        <v>15</v>
      </c>
      <c r="M51" s="10" t="s">
        <v>26</v>
      </c>
      <c r="N51" s="10">
        <v>1139.21</v>
      </c>
      <c r="O51" s="27" t="s">
        <v>27</v>
      </c>
      <c r="P51" s="12" t="s">
        <v>39</v>
      </c>
      <c r="Q51" s="55" t="str">
        <f>IF(AND(Dmart_sales_data[[#This Row],[customer_type2]]="Member",OR(Dmart_sales_data[[#This Row],[payment_mode]]="UPI",Dmart_sales_data[[#This Row],[payment_mode]]="Card")),"yes","No")</f>
        <v>No</v>
      </c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</row>
    <row r="52" spans="1:28" ht="14.25" customHeight="1" x14ac:dyDescent="0.3">
      <c r="A52" s="13" t="s">
        <v>92</v>
      </c>
      <c r="B52" s="14" t="s">
        <v>24</v>
      </c>
      <c r="C52" s="14" t="s">
        <v>24</v>
      </c>
      <c r="D52" s="15" t="s">
        <v>37</v>
      </c>
      <c r="E52" s="15">
        <v>1731.22</v>
      </c>
      <c r="F52" s="5" t="str">
        <f>IF(Dmart_sales_data[[#This Row],[sales]]&gt;3000,"High Sales",IF(Dmart_sales_data[[#This Row],[sales]]&gt;1000,"Medium Sales","Low Sales"))</f>
        <v>Medium Sales</v>
      </c>
      <c r="G52" s="15">
        <v>0.27</v>
      </c>
      <c r="H52" s="15">
        <v>7</v>
      </c>
      <c r="I52" s="16">
        <v>45173</v>
      </c>
      <c r="J52" s="16">
        <v>45180</v>
      </c>
      <c r="K52" s="15" t="s">
        <v>15</v>
      </c>
      <c r="L52" s="15" t="s">
        <v>15</v>
      </c>
      <c r="M52" s="15" t="s">
        <v>16</v>
      </c>
      <c r="N52" s="15">
        <v>433.9</v>
      </c>
      <c r="O52" s="27" t="s">
        <v>27</v>
      </c>
      <c r="P52" s="17" t="s">
        <v>27</v>
      </c>
      <c r="Q52" s="55" t="str">
        <f>IF(AND(Dmart_sales_data[[#This Row],[customer_type2]]="Member",OR(Dmart_sales_data[[#This Row],[payment_mode]]="UPI",Dmart_sales_data[[#This Row],[payment_mode]]="Card")),"yes","No")</f>
        <v>yes</v>
      </c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</row>
    <row r="53" spans="1:28" ht="14.25" customHeight="1" x14ac:dyDescent="0.3">
      <c r="A53" s="8" t="s">
        <v>93</v>
      </c>
      <c r="B53" s="9" t="s">
        <v>29</v>
      </c>
      <c r="C53" s="9" t="s">
        <v>29</v>
      </c>
      <c r="D53" s="10" t="s">
        <v>37</v>
      </c>
      <c r="E53" s="10">
        <v>2414.7600000000002</v>
      </c>
      <c r="F53" s="5" t="str">
        <f>IF(Dmart_sales_data[[#This Row],[sales]]&gt;3000,"High Sales",IF(Dmart_sales_data[[#This Row],[sales]]&gt;1000,"Medium Sales","Low Sales"))</f>
        <v>Medium Sales</v>
      </c>
      <c r="G53" s="10">
        <v>0.43</v>
      </c>
      <c r="H53" s="10">
        <v>3</v>
      </c>
      <c r="I53" s="11">
        <v>44955</v>
      </c>
      <c r="J53" s="11">
        <v>44961</v>
      </c>
      <c r="K53" s="10" t="s">
        <v>20</v>
      </c>
      <c r="L53" s="10" t="s">
        <v>20</v>
      </c>
      <c r="M53" s="10" t="s">
        <v>26</v>
      </c>
      <c r="N53" s="10">
        <v>687.58</v>
      </c>
      <c r="O53" s="27" t="s">
        <v>79</v>
      </c>
      <c r="P53" s="12" t="s">
        <v>22</v>
      </c>
      <c r="Q53" s="55" t="str">
        <f>IF(AND(Dmart_sales_data[[#This Row],[customer_type2]]="Member",OR(Dmart_sales_data[[#This Row],[payment_mode]]="UPI",Dmart_sales_data[[#This Row],[payment_mode]]="Card")),"yes","No")</f>
        <v>No</v>
      </c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</row>
    <row r="54" spans="1:28" ht="14.25" customHeight="1" x14ac:dyDescent="0.3">
      <c r="A54" s="13" t="s">
        <v>94</v>
      </c>
      <c r="B54" s="14" t="s">
        <v>13</v>
      </c>
      <c r="C54" s="4" t="s">
        <v>13</v>
      </c>
      <c r="D54" s="15" t="s">
        <v>25</v>
      </c>
      <c r="E54" s="15">
        <v>1083.3</v>
      </c>
      <c r="F54" s="5" t="str">
        <f>IF(Dmart_sales_data[[#This Row],[sales]]&gt;3000,"High Sales",IF(Dmart_sales_data[[#This Row],[sales]]&gt;1000,"Medium Sales","Low Sales"))</f>
        <v>Medium Sales</v>
      </c>
      <c r="G54" s="15">
        <v>0.23</v>
      </c>
      <c r="H54" s="15">
        <v>3</v>
      </c>
      <c r="I54" s="16">
        <v>45236</v>
      </c>
      <c r="J54" s="16">
        <v>45240</v>
      </c>
      <c r="K54" s="15" t="s">
        <v>15</v>
      </c>
      <c r="L54" s="15" t="s">
        <v>15</v>
      </c>
      <c r="M54" s="15" t="s">
        <v>26</v>
      </c>
      <c r="N54" s="15">
        <v>114.25</v>
      </c>
      <c r="O54" s="27" t="s">
        <v>17</v>
      </c>
      <c r="P54" s="17" t="s">
        <v>95</v>
      </c>
      <c r="Q54" s="55" t="str">
        <f>IF(AND(Dmart_sales_data[[#This Row],[customer_type2]]="Member",OR(Dmart_sales_data[[#This Row],[payment_mode]]="UPI",Dmart_sales_data[[#This Row],[payment_mode]]="Card")),"yes","No")</f>
        <v>No</v>
      </c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</row>
    <row r="55" spans="1:28" ht="14.25" customHeight="1" x14ac:dyDescent="0.3">
      <c r="A55" s="8" t="s">
        <v>96</v>
      </c>
      <c r="B55" s="9" t="s">
        <v>576</v>
      </c>
      <c r="C55" s="9" t="s">
        <v>576</v>
      </c>
      <c r="D55" s="10" t="s">
        <v>19</v>
      </c>
      <c r="E55" s="10">
        <v>177.03</v>
      </c>
      <c r="F55" s="5" t="str">
        <f>IF(Dmart_sales_data[[#This Row],[sales]]&gt;3000,"High Sales",IF(Dmart_sales_data[[#This Row],[sales]]&gt;1000,"Medium Sales","Low Sales"))</f>
        <v>Low Sales</v>
      </c>
      <c r="G55" s="10">
        <v>0.3</v>
      </c>
      <c r="H55" s="10">
        <v>7</v>
      </c>
      <c r="I55" s="11">
        <v>45105</v>
      </c>
      <c r="J55" s="11">
        <v>45106</v>
      </c>
      <c r="K55" s="10" t="s">
        <v>32</v>
      </c>
      <c r="L55" s="10" t="s">
        <v>32</v>
      </c>
      <c r="M55" s="10" t="s">
        <v>16</v>
      </c>
      <c r="N55" s="10">
        <v>20.43</v>
      </c>
      <c r="O55" s="27" t="s">
        <v>27</v>
      </c>
      <c r="P55" s="12" t="s">
        <v>39</v>
      </c>
      <c r="Q55" s="55" t="str">
        <f>IF(AND(Dmart_sales_data[[#This Row],[customer_type2]]="Member",OR(Dmart_sales_data[[#This Row],[payment_mode]]="UPI",Dmart_sales_data[[#This Row],[payment_mode]]="Card")),"yes","No")</f>
        <v>No</v>
      </c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</row>
    <row r="56" spans="1:28" ht="14.25" customHeight="1" x14ac:dyDescent="0.3">
      <c r="A56" s="13" t="s">
        <v>97</v>
      </c>
      <c r="B56" s="14" t="s">
        <v>24</v>
      </c>
      <c r="C56" s="14" t="s">
        <v>24</v>
      </c>
      <c r="D56" s="15" t="s">
        <v>37</v>
      </c>
      <c r="E56" s="15">
        <v>1519.61</v>
      </c>
      <c r="F56" s="5" t="str">
        <f>IF(Dmart_sales_data[[#This Row],[sales]]&gt;3000,"High Sales",IF(Dmart_sales_data[[#This Row],[sales]]&gt;1000,"Medium Sales","Low Sales"))</f>
        <v>Medium Sales</v>
      </c>
      <c r="G56" s="15">
        <v>0.41</v>
      </c>
      <c r="H56" s="15">
        <v>8</v>
      </c>
      <c r="I56" s="16">
        <v>45431</v>
      </c>
      <c r="J56" s="16">
        <v>45438</v>
      </c>
      <c r="K56" s="15" t="s">
        <v>15</v>
      </c>
      <c r="L56" s="15" t="s">
        <v>15</v>
      </c>
      <c r="M56" s="15" t="s">
        <v>16</v>
      </c>
      <c r="N56" s="15">
        <v>237.01</v>
      </c>
      <c r="O56" s="27" t="s">
        <v>41</v>
      </c>
      <c r="P56" s="17" t="s">
        <v>41</v>
      </c>
      <c r="Q56" s="55" t="str">
        <f>IF(AND(Dmart_sales_data[[#This Row],[customer_type2]]="Member",OR(Dmart_sales_data[[#This Row],[payment_mode]]="UPI",Dmart_sales_data[[#This Row],[payment_mode]]="Card")),"yes","No")</f>
        <v>yes</v>
      </c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</row>
    <row r="57" spans="1:28" ht="14.25" customHeight="1" x14ac:dyDescent="0.3">
      <c r="A57" s="8" t="s">
        <v>98</v>
      </c>
      <c r="B57" s="9" t="s">
        <v>29</v>
      </c>
      <c r="C57" s="9" t="s">
        <v>29</v>
      </c>
      <c r="D57" s="10" t="s">
        <v>14</v>
      </c>
      <c r="E57" s="10">
        <v>1910.1</v>
      </c>
      <c r="F57" s="5" t="str">
        <f>IF(Dmart_sales_data[[#This Row],[sales]]&gt;3000,"High Sales",IF(Dmart_sales_data[[#This Row],[sales]]&gt;1000,"Medium Sales","Low Sales"))</f>
        <v>Medium Sales</v>
      </c>
      <c r="G57" s="10">
        <v>0.27</v>
      </c>
      <c r="H57" s="10">
        <v>4</v>
      </c>
      <c r="I57" s="11">
        <v>45303</v>
      </c>
      <c r="J57" s="11">
        <v>45305</v>
      </c>
      <c r="K57" s="10" t="s">
        <v>32</v>
      </c>
      <c r="L57" s="10" t="s">
        <v>32</v>
      </c>
      <c r="M57" s="10" t="s">
        <v>26</v>
      </c>
      <c r="N57" s="10">
        <v>278.48</v>
      </c>
      <c r="O57" s="27" t="s">
        <v>35</v>
      </c>
      <c r="P57" s="12" t="s">
        <v>35</v>
      </c>
      <c r="Q57" s="55" t="str">
        <f>IF(AND(Dmart_sales_data[[#This Row],[customer_type2]]="Member",OR(Dmart_sales_data[[#This Row],[payment_mode]]="UPI",Dmart_sales_data[[#This Row],[payment_mode]]="Card")),"yes","No")</f>
        <v>No</v>
      </c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</row>
    <row r="58" spans="1:28" ht="14.25" customHeight="1" x14ac:dyDescent="0.3">
      <c r="A58" s="13" t="s">
        <v>99</v>
      </c>
      <c r="B58" s="14" t="s">
        <v>13</v>
      </c>
      <c r="C58" s="4" t="s">
        <v>13</v>
      </c>
      <c r="D58" s="15" t="s">
        <v>19</v>
      </c>
      <c r="E58" s="15">
        <v>2865.4</v>
      </c>
      <c r="F58" s="5" t="str">
        <f>IF(Dmart_sales_data[[#This Row],[sales]]&gt;3000,"High Sales",IF(Dmart_sales_data[[#This Row],[sales]]&gt;1000,"Medium Sales","Low Sales"))</f>
        <v>Medium Sales</v>
      </c>
      <c r="G58" s="15">
        <v>0.37</v>
      </c>
      <c r="H58" s="15">
        <v>1</v>
      </c>
      <c r="I58" s="16">
        <v>45204</v>
      </c>
      <c r="J58" s="16">
        <v>45206</v>
      </c>
      <c r="K58" s="15" t="s">
        <v>15</v>
      </c>
      <c r="L58" s="15" t="s">
        <v>15</v>
      </c>
      <c r="M58" s="15" t="s">
        <v>26</v>
      </c>
      <c r="N58" s="15">
        <v>356.81</v>
      </c>
      <c r="O58" s="27" t="s">
        <v>100</v>
      </c>
      <c r="P58" s="17" t="s">
        <v>100</v>
      </c>
      <c r="Q58" s="55" t="str">
        <f>IF(AND(Dmart_sales_data[[#This Row],[customer_type2]]="Member",OR(Dmart_sales_data[[#This Row],[payment_mode]]="UPI",Dmart_sales_data[[#This Row],[payment_mode]]="Card")),"yes","No")</f>
        <v>No</v>
      </c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</row>
    <row r="59" spans="1:28" ht="14.25" customHeight="1" x14ac:dyDescent="0.3">
      <c r="A59" s="8" t="s">
        <v>101</v>
      </c>
      <c r="B59" s="9" t="s">
        <v>576</v>
      </c>
      <c r="C59" s="9" t="s">
        <v>576</v>
      </c>
      <c r="D59" s="10" t="s">
        <v>19</v>
      </c>
      <c r="E59" s="10">
        <v>4725.93</v>
      </c>
      <c r="F59" s="5" t="str">
        <f>IF(Dmart_sales_data[[#This Row],[sales]]&gt;3000,"High Sales",IF(Dmart_sales_data[[#This Row],[sales]]&gt;1000,"Medium Sales","Low Sales"))</f>
        <v>High Sales</v>
      </c>
      <c r="G59" s="10">
        <v>0.17</v>
      </c>
      <c r="H59" s="10">
        <v>5</v>
      </c>
      <c r="I59" s="11">
        <v>45409</v>
      </c>
      <c r="J59" s="11">
        <v>45416</v>
      </c>
      <c r="K59" s="10" t="s">
        <v>32</v>
      </c>
      <c r="L59" s="10" t="s">
        <v>32</v>
      </c>
      <c r="M59" s="10" t="s">
        <v>26</v>
      </c>
      <c r="N59" s="10">
        <v>581.75</v>
      </c>
      <c r="O59" s="27" t="s">
        <v>17</v>
      </c>
      <c r="P59" s="12" t="s">
        <v>95</v>
      </c>
      <c r="Q59" s="55" t="str">
        <f>IF(AND(Dmart_sales_data[[#This Row],[customer_type2]]="Member",OR(Dmart_sales_data[[#This Row],[payment_mode]]="UPI",Dmart_sales_data[[#This Row],[payment_mode]]="Card")),"yes","No")</f>
        <v>No</v>
      </c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</row>
    <row r="60" spans="1:28" ht="14.25" customHeight="1" x14ac:dyDescent="0.3">
      <c r="A60" s="13" t="s">
        <v>102</v>
      </c>
      <c r="B60" s="14" t="s">
        <v>24</v>
      </c>
      <c r="C60" s="14" t="s">
        <v>24</v>
      </c>
      <c r="D60" s="15" t="s">
        <v>37</v>
      </c>
      <c r="E60" s="15">
        <v>4744.4799999999996</v>
      </c>
      <c r="F60" s="5" t="str">
        <f>IF(Dmart_sales_data[[#This Row],[sales]]&gt;3000,"High Sales",IF(Dmart_sales_data[[#This Row],[sales]]&gt;1000,"Medium Sales","Low Sales"))</f>
        <v>High Sales</v>
      </c>
      <c r="G60" s="15">
        <v>0.37</v>
      </c>
      <c r="H60" s="15">
        <v>4</v>
      </c>
      <c r="I60" s="16">
        <v>45202</v>
      </c>
      <c r="J60" s="16">
        <v>45207</v>
      </c>
      <c r="K60" s="15" t="s">
        <v>15</v>
      </c>
      <c r="L60" s="15" t="s">
        <v>15</v>
      </c>
      <c r="M60" s="15" t="s">
        <v>21</v>
      </c>
      <c r="N60" s="15">
        <v>1320.22</v>
      </c>
      <c r="O60" s="27" t="s">
        <v>100</v>
      </c>
      <c r="P60" s="17" t="s">
        <v>63</v>
      </c>
      <c r="Q60" s="55" t="str">
        <f>IF(AND(Dmart_sales_data[[#This Row],[customer_type2]]="Member",OR(Dmart_sales_data[[#This Row],[payment_mode]]="UPI",Dmart_sales_data[[#This Row],[payment_mode]]="Card")),"yes","No")</f>
        <v>yes</v>
      </c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</row>
    <row r="61" spans="1:28" ht="14.25" customHeight="1" x14ac:dyDescent="0.3">
      <c r="A61" s="8" t="s">
        <v>103</v>
      </c>
      <c r="B61" s="9" t="s">
        <v>29</v>
      </c>
      <c r="C61" s="9" t="s">
        <v>29</v>
      </c>
      <c r="D61" s="10" t="s">
        <v>37</v>
      </c>
      <c r="E61" s="10">
        <v>443.48</v>
      </c>
      <c r="F61" s="5" t="str">
        <f>IF(Dmart_sales_data[[#This Row],[sales]]&gt;3000,"High Sales",IF(Dmart_sales_data[[#This Row],[sales]]&gt;1000,"Medium Sales","Low Sales"))</f>
        <v>Low Sales</v>
      </c>
      <c r="G61" s="10">
        <v>0.02</v>
      </c>
      <c r="H61" s="10">
        <v>9</v>
      </c>
      <c r="I61" s="11">
        <v>45219</v>
      </c>
      <c r="J61" s="11">
        <v>45221</v>
      </c>
      <c r="K61" s="10" t="s">
        <v>32</v>
      </c>
      <c r="L61" s="10" t="s">
        <v>32</v>
      </c>
      <c r="M61" s="10" t="s">
        <v>21</v>
      </c>
      <c r="N61" s="10">
        <v>42.23</v>
      </c>
      <c r="O61" s="27" t="s">
        <v>17</v>
      </c>
      <c r="P61" s="12" t="s">
        <v>17</v>
      </c>
      <c r="Q61" s="55" t="str">
        <f>IF(AND(Dmart_sales_data[[#This Row],[customer_type2]]="Member",OR(Dmart_sales_data[[#This Row],[payment_mode]]="UPI",Dmart_sales_data[[#This Row],[payment_mode]]="Card")),"yes","No")</f>
        <v>No</v>
      </c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</row>
    <row r="62" spans="1:28" ht="14.25" customHeight="1" x14ac:dyDescent="0.3">
      <c r="A62" s="13" t="s">
        <v>104</v>
      </c>
      <c r="B62" s="14" t="s">
        <v>13</v>
      </c>
      <c r="C62" s="4" t="s">
        <v>13</v>
      </c>
      <c r="D62" s="15" t="s">
        <v>37</v>
      </c>
      <c r="E62" s="15">
        <v>3111.76</v>
      </c>
      <c r="F62" s="5" t="str">
        <f>IF(Dmart_sales_data[[#This Row],[sales]]&gt;3000,"High Sales",IF(Dmart_sales_data[[#This Row],[sales]]&gt;1000,"Medium Sales","Low Sales"))</f>
        <v>High Sales</v>
      </c>
      <c r="G62" s="15">
        <v>0.08</v>
      </c>
      <c r="H62" s="15">
        <v>3</v>
      </c>
      <c r="I62" s="16">
        <v>45054</v>
      </c>
      <c r="J62" s="16">
        <v>45057</v>
      </c>
      <c r="K62" s="15" t="s">
        <v>20</v>
      </c>
      <c r="L62" s="15" t="s">
        <v>20</v>
      </c>
      <c r="M62" s="15" t="s">
        <v>21</v>
      </c>
      <c r="N62" s="15">
        <v>835.81</v>
      </c>
      <c r="O62" s="27" t="s">
        <v>100</v>
      </c>
      <c r="P62" s="17" t="s">
        <v>65</v>
      </c>
      <c r="Q62" s="55" t="str">
        <f>IF(AND(Dmart_sales_data[[#This Row],[customer_type2]]="Member",OR(Dmart_sales_data[[#This Row],[payment_mode]]="UPI",Dmart_sales_data[[#This Row],[payment_mode]]="Card")),"yes","No")</f>
        <v>No</v>
      </c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</row>
    <row r="63" spans="1:28" ht="14.25" customHeight="1" x14ac:dyDescent="0.3">
      <c r="A63" s="8" t="s">
        <v>105</v>
      </c>
      <c r="B63" s="9" t="s">
        <v>576</v>
      </c>
      <c r="C63" s="9" t="s">
        <v>576</v>
      </c>
      <c r="D63" s="10" t="s">
        <v>14</v>
      </c>
      <c r="E63" s="10">
        <v>307.52999999999997</v>
      </c>
      <c r="F63" s="5" t="str">
        <f>IF(Dmart_sales_data[[#This Row],[sales]]&gt;3000,"High Sales",IF(Dmart_sales_data[[#This Row],[sales]]&gt;1000,"Medium Sales","Low Sales"))</f>
        <v>Low Sales</v>
      </c>
      <c r="G63" s="10">
        <v>0.32</v>
      </c>
      <c r="H63" s="10">
        <v>4</v>
      </c>
      <c r="I63" s="11">
        <v>45233</v>
      </c>
      <c r="J63" s="11">
        <v>45238</v>
      </c>
      <c r="K63" s="10" t="s">
        <v>15</v>
      </c>
      <c r="L63" s="10" t="s">
        <v>15</v>
      </c>
      <c r="M63" s="10" t="s">
        <v>26</v>
      </c>
      <c r="N63" s="10">
        <v>54.58</v>
      </c>
      <c r="O63" s="27" t="s">
        <v>35</v>
      </c>
      <c r="P63" s="12" t="s">
        <v>30</v>
      </c>
      <c r="Q63" s="55" t="str">
        <f>IF(AND(Dmart_sales_data[[#This Row],[customer_type2]]="Member",OR(Dmart_sales_data[[#This Row],[payment_mode]]="UPI",Dmart_sales_data[[#This Row],[payment_mode]]="Card")),"yes","No")</f>
        <v>No</v>
      </c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</row>
    <row r="64" spans="1:28" ht="14.25" customHeight="1" x14ac:dyDescent="0.3">
      <c r="A64" s="13" t="s">
        <v>106</v>
      </c>
      <c r="B64" s="14" t="s">
        <v>24</v>
      </c>
      <c r="C64" s="14" t="s">
        <v>24</v>
      </c>
      <c r="D64" s="15" t="s">
        <v>19</v>
      </c>
      <c r="E64" s="15">
        <v>3275.6</v>
      </c>
      <c r="F64" s="5" t="str">
        <f>IF(Dmart_sales_data[[#This Row],[sales]]&gt;3000,"High Sales",IF(Dmart_sales_data[[#This Row],[sales]]&gt;1000,"Medium Sales","Low Sales"))</f>
        <v>High Sales</v>
      </c>
      <c r="G64" s="15">
        <v>0.22</v>
      </c>
      <c r="H64" s="15">
        <v>3</v>
      </c>
      <c r="I64" s="16">
        <v>44999</v>
      </c>
      <c r="J64" s="16">
        <v>45000</v>
      </c>
      <c r="K64" s="15" t="s">
        <v>15</v>
      </c>
      <c r="L64" s="15" t="s">
        <v>15</v>
      </c>
      <c r="M64" s="15" t="s">
        <v>26</v>
      </c>
      <c r="N64" s="15">
        <v>922.83</v>
      </c>
      <c r="O64" s="27" t="s">
        <v>100</v>
      </c>
      <c r="P64" s="17" t="s">
        <v>100</v>
      </c>
      <c r="Q64" s="55" t="str">
        <f>IF(AND(Dmart_sales_data[[#This Row],[customer_type2]]="Member",OR(Dmart_sales_data[[#This Row],[payment_mode]]="UPI",Dmart_sales_data[[#This Row],[payment_mode]]="Card")),"yes","No")</f>
        <v>No</v>
      </c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</row>
    <row r="65" spans="1:28" ht="14.25" customHeight="1" x14ac:dyDescent="0.3">
      <c r="A65" s="8" t="s">
        <v>107</v>
      </c>
      <c r="B65" s="9" t="s">
        <v>29</v>
      </c>
      <c r="C65" s="9" t="s">
        <v>29</v>
      </c>
      <c r="D65" s="10" t="s">
        <v>25</v>
      </c>
      <c r="E65" s="10">
        <v>676.75</v>
      </c>
      <c r="F65" s="5" t="str">
        <f>IF(Dmart_sales_data[[#This Row],[sales]]&gt;3000,"High Sales",IF(Dmart_sales_data[[#This Row],[sales]]&gt;1000,"Medium Sales","Low Sales"))</f>
        <v>Low Sales</v>
      </c>
      <c r="G65" s="10">
        <v>0.41</v>
      </c>
      <c r="H65" s="10">
        <v>3</v>
      </c>
      <c r="I65" s="11">
        <v>45299</v>
      </c>
      <c r="J65" s="11">
        <v>45301</v>
      </c>
      <c r="K65" s="10" t="s">
        <v>32</v>
      </c>
      <c r="L65" s="10" t="s">
        <v>32</v>
      </c>
      <c r="M65" s="10" t="s">
        <v>21</v>
      </c>
      <c r="N65" s="10">
        <v>36.86</v>
      </c>
      <c r="O65" s="27" t="s">
        <v>100</v>
      </c>
      <c r="P65" s="12" t="s">
        <v>100</v>
      </c>
      <c r="Q65" s="55" t="str">
        <f>IF(AND(Dmart_sales_data[[#This Row],[customer_type2]]="Member",OR(Dmart_sales_data[[#This Row],[payment_mode]]="UPI",Dmart_sales_data[[#This Row],[payment_mode]]="Card")),"yes","No")</f>
        <v>No</v>
      </c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</row>
    <row r="66" spans="1:28" ht="14.25" customHeight="1" x14ac:dyDescent="0.3">
      <c r="A66" s="13" t="s">
        <v>108</v>
      </c>
      <c r="B66" s="14" t="s">
        <v>13</v>
      </c>
      <c r="C66" s="4" t="s">
        <v>13</v>
      </c>
      <c r="D66" s="15" t="s">
        <v>14</v>
      </c>
      <c r="E66" s="15">
        <v>4737.37</v>
      </c>
      <c r="F66" s="5" t="str">
        <f>IF(Dmart_sales_data[[#This Row],[sales]]&gt;3000,"High Sales",IF(Dmart_sales_data[[#This Row],[sales]]&gt;1000,"Medium Sales","Low Sales"))</f>
        <v>High Sales</v>
      </c>
      <c r="G66" s="15">
        <v>0.17</v>
      </c>
      <c r="H66" s="15">
        <v>7</v>
      </c>
      <c r="I66" s="16">
        <v>45652</v>
      </c>
      <c r="J66" s="16">
        <v>45653</v>
      </c>
      <c r="K66" s="15" t="s">
        <v>15</v>
      </c>
      <c r="L66" s="15" t="s">
        <v>15</v>
      </c>
      <c r="M66" s="15" t="s">
        <v>16</v>
      </c>
      <c r="N66" s="15">
        <v>499.78</v>
      </c>
      <c r="O66" s="27" t="s">
        <v>35</v>
      </c>
      <c r="P66" s="17" t="s">
        <v>30</v>
      </c>
      <c r="Q66" s="55" t="str">
        <f>IF(AND(Dmart_sales_data[[#This Row],[customer_type2]]="Member",OR(Dmart_sales_data[[#This Row],[payment_mode]]="UPI",Dmart_sales_data[[#This Row],[payment_mode]]="Card")),"yes","No")</f>
        <v>yes</v>
      </c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</row>
    <row r="67" spans="1:28" ht="14.25" customHeight="1" x14ac:dyDescent="0.3">
      <c r="A67" s="8" t="s">
        <v>109</v>
      </c>
      <c r="B67" s="9" t="s">
        <v>576</v>
      </c>
      <c r="C67" s="9" t="s">
        <v>576</v>
      </c>
      <c r="D67" s="10" t="s">
        <v>34</v>
      </c>
      <c r="E67" s="10">
        <v>4335.26</v>
      </c>
      <c r="F67" s="5" t="str">
        <f>IF(Dmart_sales_data[[#This Row],[sales]]&gt;3000,"High Sales",IF(Dmart_sales_data[[#This Row],[sales]]&gt;1000,"Medium Sales","Low Sales"))</f>
        <v>High Sales</v>
      </c>
      <c r="G67" s="10">
        <v>0.38</v>
      </c>
      <c r="H67" s="10">
        <v>5</v>
      </c>
      <c r="I67" s="11">
        <v>45360</v>
      </c>
      <c r="J67" s="11">
        <v>45362</v>
      </c>
      <c r="K67" s="10" t="s">
        <v>32</v>
      </c>
      <c r="L67" s="10" t="s">
        <v>32</v>
      </c>
      <c r="M67" s="10" t="s">
        <v>16</v>
      </c>
      <c r="N67" s="10">
        <v>757.48</v>
      </c>
      <c r="O67" s="27" t="s">
        <v>41</v>
      </c>
      <c r="P67" s="12" t="s">
        <v>41</v>
      </c>
      <c r="Q67" s="55" t="str">
        <f>IF(AND(Dmart_sales_data[[#This Row],[customer_type2]]="Member",OR(Dmart_sales_data[[#This Row],[payment_mode]]="UPI",Dmart_sales_data[[#This Row],[payment_mode]]="Card")),"yes","No")</f>
        <v>No</v>
      </c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</row>
    <row r="68" spans="1:28" ht="14.25" customHeight="1" x14ac:dyDescent="0.3">
      <c r="A68" s="13" t="s">
        <v>110</v>
      </c>
      <c r="B68" s="14" t="s">
        <v>24</v>
      </c>
      <c r="C68" s="14" t="s">
        <v>24</v>
      </c>
      <c r="D68" s="15" t="s">
        <v>37</v>
      </c>
      <c r="E68" s="15">
        <v>209.41</v>
      </c>
      <c r="F68" s="5" t="str">
        <f>IF(Dmart_sales_data[[#This Row],[sales]]&gt;3000,"High Sales",IF(Dmart_sales_data[[#This Row],[sales]]&gt;1000,"Medium Sales","Low Sales"))</f>
        <v>Low Sales</v>
      </c>
      <c r="G68" s="15">
        <v>7.0000000000000007E-2</v>
      </c>
      <c r="H68" s="15">
        <v>5</v>
      </c>
      <c r="I68" s="16">
        <v>45646</v>
      </c>
      <c r="J68" s="16">
        <v>45651</v>
      </c>
      <c r="K68" s="15" t="s">
        <v>20</v>
      </c>
      <c r="L68" s="15" t="s">
        <v>20</v>
      </c>
      <c r="M68" s="15" t="s">
        <v>26</v>
      </c>
      <c r="N68" s="15">
        <v>17.88</v>
      </c>
      <c r="O68" s="27" t="s">
        <v>35</v>
      </c>
      <c r="P68" s="17" t="s">
        <v>35</v>
      </c>
      <c r="Q68" s="55" t="str">
        <f>IF(AND(Dmart_sales_data[[#This Row],[customer_type2]]="Member",OR(Dmart_sales_data[[#This Row],[payment_mode]]="UPI",Dmart_sales_data[[#This Row],[payment_mode]]="Card")),"yes","No")</f>
        <v>No</v>
      </c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</row>
    <row r="69" spans="1:28" ht="14.25" customHeight="1" x14ac:dyDescent="0.3">
      <c r="A69" s="8" t="s">
        <v>111</v>
      </c>
      <c r="B69" s="9" t="s">
        <v>29</v>
      </c>
      <c r="C69" s="9" t="s">
        <v>29</v>
      </c>
      <c r="D69" s="10" t="s">
        <v>19</v>
      </c>
      <c r="E69" s="10">
        <v>3932.45</v>
      </c>
      <c r="F69" s="5" t="str">
        <f>IF(Dmart_sales_data[[#This Row],[sales]]&gt;3000,"High Sales",IF(Dmart_sales_data[[#This Row],[sales]]&gt;1000,"Medium Sales","Low Sales"))</f>
        <v>High Sales</v>
      </c>
      <c r="G69" s="10">
        <v>0.47</v>
      </c>
      <c r="H69" s="10">
        <v>4</v>
      </c>
      <c r="I69" s="11">
        <v>44988</v>
      </c>
      <c r="J69" s="11">
        <v>44994</v>
      </c>
      <c r="K69" s="10" t="s">
        <v>32</v>
      </c>
      <c r="L69" s="10" t="s">
        <v>32</v>
      </c>
      <c r="M69" s="10" t="s">
        <v>26</v>
      </c>
      <c r="N69" s="10">
        <v>408.02</v>
      </c>
      <c r="O69" s="27" t="s">
        <v>41</v>
      </c>
      <c r="P69" s="12" t="s">
        <v>68</v>
      </c>
      <c r="Q69" s="55" t="str">
        <f>IF(AND(Dmart_sales_data[[#This Row],[customer_type2]]="Member",OR(Dmart_sales_data[[#This Row],[payment_mode]]="UPI",Dmart_sales_data[[#This Row],[payment_mode]]="Card")),"yes","No")</f>
        <v>No</v>
      </c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</row>
    <row r="70" spans="1:28" ht="14.25" customHeight="1" x14ac:dyDescent="0.3">
      <c r="A70" s="13" t="s">
        <v>112</v>
      </c>
      <c r="B70" s="14" t="s">
        <v>13</v>
      </c>
      <c r="C70" s="4" t="s">
        <v>13</v>
      </c>
      <c r="D70" s="15" t="s">
        <v>14</v>
      </c>
      <c r="E70" s="15">
        <v>3215.9</v>
      </c>
      <c r="F70" s="5" t="str">
        <f>IF(Dmart_sales_data[[#This Row],[sales]]&gt;3000,"High Sales",IF(Dmart_sales_data[[#This Row],[sales]]&gt;1000,"Medium Sales","Low Sales"))</f>
        <v>High Sales</v>
      </c>
      <c r="G70" s="15">
        <v>0.21</v>
      </c>
      <c r="H70" s="15">
        <v>8</v>
      </c>
      <c r="I70" s="16">
        <v>44970</v>
      </c>
      <c r="J70" s="16">
        <v>44973</v>
      </c>
      <c r="K70" s="15" t="s">
        <v>15</v>
      </c>
      <c r="L70" s="15" t="s">
        <v>15</v>
      </c>
      <c r="M70" s="15" t="s">
        <v>26</v>
      </c>
      <c r="N70" s="15">
        <v>542.05999999999995</v>
      </c>
      <c r="O70" s="27" t="s">
        <v>100</v>
      </c>
      <c r="P70" s="17" t="s">
        <v>100</v>
      </c>
      <c r="Q70" s="55" t="str">
        <f>IF(AND(Dmart_sales_data[[#This Row],[customer_type2]]="Member",OR(Dmart_sales_data[[#This Row],[payment_mode]]="UPI",Dmart_sales_data[[#This Row],[payment_mode]]="Card")),"yes","No")</f>
        <v>No</v>
      </c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</row>
    <row r="71" spans="1:28" ht="14.25" customHeight="1" x14ac:dyDescent="0.3">
      <c r="A71" s="8" t="s">
        <v>113</v>
      </c>
      <c r="B71" s="9" t="s">
        <v>576</v>
      </c>
      <c r="C71" s="9" t="s">
        <v>576</v>
      </c>
      <c r="D71" s="10" t="s">
        <v>34</v>
      </c>
      <c r="E71" s="10">
        <v>2527.31</v>
      </c>
      <c r="F71" s="5" t="str">
        <f>IF(Dmart_sales_data[[#This Row],[sales]]&gt;3000,"High Sales",IF(Dmart_sales_data[[#This Row],[sales]]&gt;1000,"Medium Sales","Low Sales"))</f>
        <v>Medium Sales</v>
      </c>
      <c r="G71" s="10">
        <v>0.12</v>
      </c>
      <c r="H71" s="10">
        <v>1</v>
      </c>
      <c r="I71" s="11">
        <v>45296</v>
      </c>
      <c r="J71" s="11">
        <v>45297</v>
      </c>
      <c r="K71" s="10" t="s">
        <v>20</v>
      </c>
      <c r="L71" s="10" t="s">
        <v>20</v>
      </c>
      <c r="M71" s="10" t="s">
        <v>21</v>
      </c>
      <c r="N71" s="10">
        <v>611.45000000000005</v>
      </c>
      <c r="O71" s="27" t="s">
        <v>35</v>
      </c>
      <c r="P71" s="12" t="s">
        <v>58</v>
      </c>
      <c r="Q71" s="55" t="str">
        <f>IF(AND(Dmart_sales_data[[#This Row],[customer_type2]]="Member",OR(Dmart_sales_data[[#This Row],[payment_mode]]="UPI",Dmart_sales_data[[#This Row],[payment_mode]]="Card")),"yes","No")</f>
        <v>No</v>
      </c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</row>
    <row r="72" spans="1:28" ht="14.25" customHeight="1" x14ac:dyDescent="0.3">
      <c r="A72" s="13" t="s">
        <v>114</v>
      </c>
      <c r="B72" s="14" t="s">
        <v>24</v>
      </c>
      <c r="C72" s="14" t="s">
        <v>24</v>
      </c>
      <c r="D72" s="15" t="s">
        <v>14</v>
      </c>
      <c r="E72" s="15">
        <v>3052.91</v>
      </c>
      <c r="F72" s="5" t="str">
        <f>IF(Dmart_sales_data[[#This Row],[sales]]&gt;3000,"High Sales",IF(Dmart_sales_data[[#This Row],[sales]]&gt;1000,"Medium Sales","Low Sales"))</f>
        <v>High Sales</v>
      </c>
      <c r="G72" s="15">
        <v>0.39</v>
      </c>
      <c r="H72" s="15">
        <v>9</v>
      </c>
      <c r="I72" s="16">
        <v>45449</v>
      </c>
      <c r="J72" s="16">
        <v>45453</v>
      </c>
      <c r="K72" s="15" t="s">
        <v>32</v>
      </c>
      <c r="L72" s="15" t="s">
        <v>32</v>
      </c>
      <c r="M72" s="15" t="s">
        <v>21</v>
      </c>
      <c r="N72" s="15">
        <v>752</v>
      </c>
      <c r="O72" s="27" t="s">
        <v>35</v>
      </c>
      <c r="P72" s="17" t="s">
        <v>35</v>
      </c>
      <c r="Q72" s="55" t="str">
        <f>IF(AND(Dmart_sales_data[[#This Row],[customer_type2]]="Member",OR(Dmart_sales_data[[#This Row],[payment_mode]]="UPI",Dmart_sales_data[[#This Row],[payment_mode]]="Card")),"yes","No")</f>
        <v>No</v>
      </c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</row>
    <row r="73" spans="1:28" ht="14.25" customHeight="1" x14ac:dyDescent="0.3">
      <c r="A73" s="8" t="s">
        <v>115</v>
      </c>
      <c r="B73" s="9" t="s">
        <v>29</v>
      </c>
      <c r="C73" s="9" t="s">
        <v>29</v>
      </c>
      <c r="D73" s="10" t="s">
        <v>14</v>
      </c>
      <c r="E73" s="10">
        <v>3423.43</v>
      </c>
      <c r="F73" s="5" t="str">
        <f>IF(Dmart_sales_data[[#This Row],[sales]]&gt;3000,"High Sales",IF(Dmart_sales_data[[#This Row],[sales]]&gt;1000,"Medium Sales","Low Sales"))</f>
        <v>High Sales</v>
      </c>
      <c r="G73" s="10">
        <v>0.47</v>
      </c>
      <c r="H73" s="10">
        <v>9</v>
      </c>
      <c r="I73" s="11">
        <v>45620</v>
      </c>
      <c r="J73" s="11">
        <v>45622</v>
      </c>
      <c r="K73" s="10" t="s">
        <v>32</v>
      </c>
      <c r="L73" s="10" t="s">
        <v>32</v>
      </c>
      <c r="M73" s="10" t="s">
        <v>21</v>
      </c>
      <c r="N73" s="10">
        <v>698.02</v>
      </c>
      <c r="O73" s="27" t="s">
        <v>79</v>
      </c>
      <c r="P73" s="12" t="s">
        <v>79</v>
      </c>
      <c r="Q73" s="55" t="str">
        <f>IF(AND(Dmart_sales_data[[#This Row],[customer_type2]]="Member",OR(Dmart_sales_data[[#This Row],[payment_mode]]="UPI",Dmart_sales_data[[#This Row],[payment_mode]]="Card")),"yes","No")</f>
        <v>No</v>
      </c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</row>
    <row r="74" spans="1:28" ht="14.25" customHeight="1" x14ac:dyDescent="0.3">
      <c r="A74" s="13" t="s">
        <v>116</v>
      </c>
      <c r="B74" s="14" t="s">
        <v>13</v>
      </c>
      <c r="C74" s="4" t="s">
        <v>13</v>
      </c>
      <c r="D74" s="15" t="s">
        <v>25</v>
      </c>
      <c r="E74" s="15">
        <v>4433.84</v>
      </c>
      <c r="F74" s="5" t="str">
        <f>IF(Dmart_sales_data[[#This Row],[sales]]&gt;3000,"High Sales",IF(Dmart_sales_data[[#This Row],[sales]]&gt;1000,"Medium Sales","Low Sales"))</f>
        <v>High Sales</v>
      </c>
      <c r="G74" s="15">
        <v>0.46</v>
      </c>
      <c r="H74" s="15">
        <v>5</v>
      </c>
      <c r="I74" s="16">
        <v>45621</v>
      </c>
      <c r="J74" s="16">
        <v>45626</v>
      </c>
      <c r="K74" s="15" t="s">
        <v>20</v>
      </c>
      <c r="L74" s="15" t="s">
        <v>20</v>
      </c>
      <c r="M74" s="15" t="s">
        <v>26</v>
      </c>
      <c r="N74" s="15">
        <v>1229.3</v>
      </c>
      <c r="O74" s="27" t="s">
        <v>100</v>
      </c>
      <c r="P74" s="17" t="s">
        <v>63</v>
      </c>
      <c r="Q74" s="55" t="str">
        <f>IF(AND(Dmart_sales_data[[#This Row],[customer_type2]]="Member",OR(Dmart_sales_data[[#This Row],[payment_mode]]="UPI",Dmart_sales_data[[#This Row],[payment_mode]]="Card")),"yes","No")</f>
        <v>No</v>
      </c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</row>
    <row r="75" spans="1:28" ht="14.25" customHeight="1" x14ac:dyDescent="0.3">
      <c r="A75" s="8" t="s">
        <v>117</v>
      </c>
      <c r="B75" s="9" t="s">
        <v>576</v>
      </c>
      <c r="C75" s="9" t="s">
        <v>576</v>
      </c>
      <c r="D75" s="10" t="s">
        <v>25</v>
      </c>
      <c r="E75" s="10">
        <v>3860.05</v>
      </c>
      <c r="F75" s="5" t="str">
        <f>IF(Dmart_sales_data[[#This Row],[sales]]&gt;3000,"High Sales",IF(Dmart_sales_data[[#This Row],[sales]]&gt;1000,"Medium Sales","Low Sales"))</f>
        <v>High Sales</v>
      </c>
      <c r="G75" s="10">
        <v>0.12</v>
      </c>
      <c r="H75" s="10">
        <v>1</v>
      </c>
      <c r="I75" s="11">
        <v>44987</v>
      </c>
      <c r="J75" s="11">
        <v>44994</v>
      </c>
      <c r="K75" s="10" t="s">
        <v>15</v>
      </c>
      <c r="L75" s="10" t="s">
        <v>15</v>
      </c>
      <c r="M75" s="10" t="s">
        <v>16</v>
      </c>
      <c r="N75" s="10">
        <v>800.39</v>
      </c>
      <c r="O75" s="27" t="s">
        <v>35</v>
      </c>
      <c r="P75" s="12" t="s">
        <v>30</v>
      </c>
      <c r="Q75" s="55" t="str">
        <f>IF(AND(Dmart_sales_data[[#This Row],[customer_type2]]="Member",OR(Dmart_sales_data[[#This Row],[payment_mode]]="UPI",Dmart_sales_data[[#This Row],[payment_mode]]="Card")),"yes","No")</f>
        <v>yes</v>
      </c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</row>
    <row r="76" spans="1:28" ht="14.25" customHeight="1" x14ac:dyDescent="0.3">
      <c r="A76" s="13" t="s">
        <v>118</v>
      </c>
      <c r="B76" s="14" t="s">
        <v>24</v>
      </c>
      <c r="C76" s="14" t="s">
        <v>24</v>
      </c>
      <c r="D76" s="15" t="s">
        <v>14</v>
      </c>
      <c r="E76" s="15">
        <v>2919.35</v>
      </c>
      <c r="F76" s="5" t="str">
        <f>IF(Dmart_sales_data[[#This Row],[sales]]&gt;3000,"High Sales",IF(Dmart_sales_data[[#This Row],[sales]]&gt;1000,"Medium Sales","Low Sales"))</f>
        <v>Medium Sales</v>
      </c>
      <c r="G76" s="15">
        <v>0.34</v>
      </c>
      <c r="H76" s="15">
        <v>2</v>
      </c>
      <c r="I76" s="16">
        <v>45409</v>
      </c>
      <c r="J76" s="16">
        <v>45410</v>
      </c>
      <c r="K76" s="15" t="s">
        <v>15</v>
      </c>
      <c r="L76" s="15" t="s">
        <v>15</v>
      </c>
      <c r="M76" s="15" t="s">
        <v>21</v>
      </c>
      <c r="N76" s="15">
        <v>163.35</v>
      </c>
      <c r="O76" s="27" t="s">
        <v>17</v>
      </c>
      <c r="P76" s="17" t="s">
        <v>52</v>
      </c>
      <c r="Q76" s="55" t="str">
        <f>IF(AND(Dmart_sales_data[[#This Row],[customer_type2]]="Member",OR(Dmart_sales_data[[#This Row],[payment_mode]]="UPI",Dmart_sales_data[[#This Row],[payment_mode]]="Card")),"yes","No")</f>
        <v>yes</v>
      </c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</row>
    <row r="77" spans="1:28" ht="14.25" customHeight="1" x14ac:dyDescent="0.3">
      <c r="A77" s="8" t="s">
        <v>119</v>
      </c>
      <c r="B77" s="9" t="s">
        <v>29</v>
      </c>
      <c r="C77" s="9" t="s">
        <v>29</v>
      </c>
      <c r="D77" s="10" t="s">
        <v>34</v>
      </c>
      <c r="E77" s="10">
        <v>4140.62</v>
      </c>
      <c r="F77" s="5" t="str">
        <f>IF(Dmart_sales_data[[#This Row],[sales]]&gt;3000,"High Sales",IF(Dmart_sales_data[[#This Row],[sales]]&gt;1000,"Medium Sales","Low Sales"))</f>
        <v>High Sales</v>
      </c>
      <c r="G77" s="10">
        <v>0.27</v>
      </c>
      <c r="H77" s="10">
        <v>2</v>
      </c>
      <c r="I77" s="11">
        <v>45106</v>
      </c>
      <c r="J77" s="11">
        <v>45113</v>
      </c>
      <c r="K77" s="10" t="s">
        <v>15</v>
      </c>
      <c r="L77" s="10" t="s">
        <v>15</v>
      </c>
      <c r="M77" s="10" t="s">
        <v>16</v>
      </c>
      <c r="N77" s="10">
        <v>743.22</v>
      </c>
      <c r="O77" s="27" t="s">
        <v>17</v>
      </c>
      <c r="P77" s="12" t="s">
        <v>52</v>
      </c>
      <c r="Q77" s="55" t="str">
        <f>IF(AND(Dmart_sales_data[[#This Row],[customer_type2]]="Member",OR(Dmart_sales_data[[#This Row],[payment_mode]]="UPI",Dmart_sales_data[[#This Row],[payment_mode]]="Card")),"yes","No")</f>
        <v>yes</v>
      </c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</row>
    <row r="78" spans="1:28" ht="14.25" customHeight="1" x14ac:dyDescent="0.3">
      <c r="A78" s="13" t="s">
        <v>120</v>
      </c>
      <c r="B78" s="14" t="s">
        <v>13</v>
      </c>
      <c r="C78" s="4" t="s">
        <v>13</v>
      </c>
      <c r="D78" s="15" t="s">
        <v>19</v>
      </c>
      <c r="E78" s="15">
        <v>4935.92</v>
      </c>
      <c r="F78" s="5" t="str">
        <f>IF(Dmart_sales_data[[#This Row],[sales]]&gt;3000,"High Sales",IF(Dmart_sales_data[[#This Row],[sales]]&gt;1000,"Medium Sales","Low Sales"))</f>
        <v>High Sales</v>
      </c>
      <c r="G78" s="15">
        <v>0.36</v>
      </c>
      <c r="H78" s="15">
        <v>6</v>
      </c>
      <c r="I78" s="16">
        <v>45561</v>
      </c>
      <c r="J78" s="16">
        <v>45566</v>
      </c>
      <c r="K78" s="15" t="s">
        <v>20</v>
      </c>
      <c r="L78" s="15" t="s">
        <v>20</v>
      </c>
      <c r="M78" s="15" t="s">
        <v>16</v>
      </c>
      <c r="N78" s="15">
        <v>1440.78</v>
      </c>
      <c r="O78" s="27" t="s">
        <v>79</v>
      </c>
      <c r="P78" s="17" t="s">
        <v>55</v>
      </c>
      <c r="Q78" s="55" t="str">
        <f>IF(AND(Dmart_sales_data[[#This Row],[customer_type2]]="Member",OR(Dmart_sales_data[[#This Row],[payment_mode]]="UPI",Dmart_sales_data[[#This Row],[payment_mode]]="Card")),"yes","No")</f>
        <v>No</v>
      </c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</row>
    <row r="79" spans="1:28" ht="14.25" customHeight="1" x14ac:dyDescent="0.3">
      <c r="A79" s="8" t="s">
        <v>121</v>
      </c>
      <c r="B79" s="9" t="s">
        <v>576</v>
      </c>
      <c r="C79" s="9" t="s">
        <v>576</v>
      </c>
      <c r="D79" s="10" t="s">
        <v>19</v>
      </c>
      <c r="E79" s="10">
        <v>1570.89</v>
      </c>
      <c r="F79" s="5" t="str">
        <f>IF(Dmart_sales_data[[#This Row],[sales]]&gt;3000,"High Sales",IF(Dmart_sales_data[[#This Row],[sales]]&gt;1000,"Medium Sales","Low Sales"))</f>
        <v>Medium Sales</v>
      </c>
      <c r="G79" s="10">
        <v>0.24</v>
      </c>
      <c r="H79" s="10">
        <v>9</v>
      </c>
      <c r="I79" s="11">
        <v>44948</v>
      </c>
      <c r="J79" s="11">
        <v>44949</v>
      </c>
      <c r="K79" s="10" t="s">
        <v>32</v>
      </c>
      <c r="L79" s="10" t="s">
        <v>32</v>
      </c>
      <c r="M79" s="10" t="s">
        <v>16</v>
      </c>
      <c r="N79" s="10">
        <v>336.22</v>
      </c>
      <c r="O79" s="27" t="s">
        <v>17</v>
      </c>
      <c r="P79" s="12" t="s">
        <v>95</v>
      </c>
      <c r="Q79" s="55" t="str">
        <f>IF(AND(Dmart_sales_data[[#This Row],[customer_type2]]="Member",OR(Dmart_sales_data[[#This Row],[payment_mode]]="UPI",Dmart_sales_data[[#This Row],[payment_mode]]="Card")),"yes","No")</f>
        <v>No</v>
      </c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</row>
    <row r="80" spans="1:28" ht="14.25" customHeight="1" x14ac:dyDescent="0.3">
      <c r="A80" s="13" t="s">
        <v>122</v>
      </c>
      <c r="B80" s="14" t="s">
        <v>24</v>
      </c>
      <c r="C80" s="14" t="s">
        <v>24</v>
      </c>
      <c r="D80" s="15" t="s">
        <v>37</v>
      </c>
      <c r="E80" s="15">
        <v>680.26</v>
      </c>
      <c r="F80" s="5" t="str">
        <f>IF(Dmart_sales_data[[#This Row],[sales]]&gt;3000,"High Sales",IF(Dmart_sales_data[[#This Row],[sales]]&gt;1000,"Medium Sales","Low Sales"))</f>
        <v>Low Sales</v>
      </c>
      <c r="G80" s="15">
        <v>0.23</v>
      </c>
      <c r="H80" s="15">
        <v>3</v>
      </c>
      <c r="I80" s="16">
        <v>45441</v>
      </c>
      <c r="J80" s="16">
        <v>45444</v>
      </c>
      <c r="K80" s="15" t="s">
        <v>20</v>
      </c>
      <c r="L80" s="15" t="s">
        <v>20</v>
      </c>
      <c r="M80" s="15" t="s">
        <v>16</v>
      </c>
      <c r="N80" s="15">
        <v>151.09</v>
      </c>
      <c r="O80" s="27" t="s">
        <v>35</v>
      </c>
      <c r="P80" s="17" t="s">
        <v>30</v>
      </c>
      <c r="Q80" s="55" t="str">
        <f>IF(AND(Dmart_sales_data[[#This Row],[customer_type2]]="Member",OR(Dmart_sales_data[[#This Row],[payment_mode]]="UPI",Dmart_sales_data[[#This Row],[payment_mode]]="Card")),"yes","No")</f>
        <v>No</v>
      </c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</row>
    <row r="81" spans="1:28" ht="14.25" customHeight="1" x14ac:dyDescent="0.3">
      <c r="A81" s="8" t="s">
        <v>123</v>
      </c>
      <c r="B81" s="9" t="s">
        <v>29</v>
      </c>
      <c r="C81" s="9" t="s">
        <v>29</v>
      </c>
      <c r="D81" s="10" t="s">
        <v>37</v>
      </c>
      <c r="E81" s="10">
        <v>3684.1</v>
      </c>
      <c r="F81" s="5" t="str">
        <f>IF(Dmart_sales_data[[#This Row],[sales]]&gt;3000,"High Sales",IF(Dmart_sales_data[[#This Row],[sales]]&gt;1000,"Medium Sales","Low Sales"))</f>
        <v>High Sales</v>
      </c>
      <c r="G81" s="10">
        <v>0.44</v>
      </c>
      <c r="H81" s="10">
        <v>8</v>
      </c>
      <c r="I81" s="11">
        <v>45642</v>
      </c>
      <c r="J81" s="11">
        <v>45649</v>
      </c>
      <c r="K81" s="10" t="s">
        <v>32</v>
      </c>
      <c r="L81" s="10" t="s">
        <v>32</v>
      </c>
      <c r="M81" s="10" t="s">
        <v>16</v>
      </c>
      <c r="N81" s="10">
        <v>289.32</v>
      </c>
      <c r="O81" s="27" t="s">
        <v>41</v>
      </c>
      <c r="P81" s="12" t="s">
        <v>41</v>
      </c>
      <c r="Q81" s="55" t="str">
        <f>IF(AND(Dmart_sales_data[[#This Row],[customer_type2]]="Member",OR(Dmart_sales_data[[#This Row],[payment_mode]]="UPI",Dmart_sales_data[[#This Row],[payment_mode]]="Card")),"yes","No")</f>
        <v>No</v>
      </c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</row>
    <row r="82" spans="1:28" ht="14.25" customHeight="1" x14ac:dyDescent="0.3">
      <c r="A82" s="13" t="s">
        <v>124</v>
      </c>
      <c r="B82" s="14" t="s">
        <v>13</v>
      </c>
      <c r="C82" s="4" t="s">
        <v>13</v>
      </c>
      <c r="D82" s="15" t="s">
        <v>19</v>
      </c>
      <c r="E82" s="15">
        <v>4895.12</v>
      </c>
      <c r="F82" s="5" t="str">
        <f>IF(Dmart_sales_data[[#This Row],[sales]]&gt;3000,"High Sales",IF(Dmart_sales_data[[#This Row],[sales]]&gt;1000,"Medium Sales","Low Sales"))</f>
        <v>High Sales</v>
      </c>
      <c r="G82" s="15">
        <v>0.44</v>
      </c>
      <c r="H82" s="15">
        <v>2</v>
      </c>
      <c r="I82" s="16">
        <v>45624</v>
      </c>
      <c r="J82" s="16">
        <v>45630</v>
      </c>
      <c r="K82" s="15" t="s">
        <v>20</v>
      </c>
      <c r="L82" s="15" t="s">
        <v>20</v>
      </c>
      <c r="M82" s="15" t="s">
        <v>21</v>
      </c>
      <c r="N82" s="15">
        <v>684.94</v>
      </c>
      <c r="O82" s="27" t="s">
        <v>41</v>
      </c>
      <c r="P82" s="17" t="s">
        <v>41</v>
      </c>
      <c r="Q82" s="55" t="str">
        <f>IF(AND(Dmart_sales_data[[#This Row],[customer_type2]]="Member",OR(Dmart_sales_data[[#This Row],[payment_mode]]="UPI",Dmart_sales_data[[#This Row],[payment_mode]]="Card")),"yes","No")</f>
        <v>No</v>
      </c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</row>
    <row r="83" spans="1:28" ht="14.25" customHeight="1" x14ac:dyDescent="0.3">
      <c r="A83" s="8" t="s">
        <v>125</v>
      </c>
      <c r="B83" s="9" t="s">
        <v>576</v>
      </c>
      <c r="C83" s="9" t="s">
        <v>576</v>
      </c>
      <c r="D83" s="10" t="s">
        <v>14</v>
      </c>
      <c r="E83" s="10">
        <v>671.86</v>
      </c>
      <c r="F83" s="5" t="str">
        <f>IF(Dmart_sales_data[[#This Row],[sales]]&gt;3000,"High Sales",IF(Dmart_sales_data[[#This Row],[sales]]&gt;1000,"Medium Sales","Low Sales"))</f>
        <v>Low Sales</v>
      </c>
      <c r="G83" s="10">
        <v>0.39</v>
      </c>
      <c r="H83" s="10">
        <v>5</v>
      </c>
      <c r="I83" s="11">
        <v>45609</v>
      </c>
      <c r="J83" s="11">
        <v>45611</v>
      </c>
      <c r="K83" s="10" t="s">
        <v>32</v>
      </c>
      <c r="L83" s="10" t="s">
        <v>32</v>
      </c>
      <c r="M83" s="10" t="s">
        <v>16</v>
      </c>
      <c r="N83" s="10">
        <v>175.75</v>
      </c>
      <c r="O83" s="27" t="s">
        <v>27</v>
      </c>
      <c r="P83" s="12" t="s">
        <v>39</v>
      </c>
      <c r="Q83" s="55" t="str">
        <f>IF(AND(Dmart_sales_data[[#This Row],[customer_type2]]="Member",OR(Dmart_sales_data[[#This Row],[payment_mode]]="UPI",Dmart_sales_data[[#This Row],[payment_mode]]="Card")),"yes","No")</f>
        <v>No</v>
      </c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</row>
    <row r="84" spans="1:28" ht="14.25" customHeight="1" x14ac:dyDescent="0.3">
      <c r="A84" s="13" t="s">
        <v>126</v>
      </c>
      <c r="B84" s="14" t="s">
        <v>24</v>
      </c>
      <c r="C84" s="14" t="s">
        <v>24</v>
      </c>
      <c r="D84" s="15" t="s">
        <v>14</v>
      </c>
      <c r="E84" s="15">
        <v>2215.37</v>
      </c>
      <c r="F84" s="5" t="str">
        <f>IF(Dmart_sales_data[[#This Row],[sales]]&gt;3000,"High Sales",IF(Dmart_sales_data[[#This Row],[sales]]&gt;1000,"Medium Sales","Low Sales"))</f>
        <v>Medium Sales</v>
      </c>
      <c r="G84" s="15">
        <v>0.35</v>
      </c>
      <c r="H84" s="15">
        <v>4</v>
      </c>
      <c r="I84" s="16">
        <v>45499</v>
      </c>
      <c r="J84" s="16">
        <v>45506</v>
      </c>
      <c r="K84" s="15" t="s">
        <v>32</v>
      </c>
      <c r="L84" s="15" t="s">
        <v>32</v>
      </c>
      <c r="M84" s="15" t="s">
        <v>26</v>
      </c>
      <c r="N84" s="15">
        <v>171.87</v>
      </c>
      <c r="O84" s="27" t="s">
        <v>17</v>
      </c>
      <c r="P84" s="17" t="s">
        <v>95</v>
      </c>
      <c r="Q84" s="55" t="str">
        <f>IF(AND(Dmart_sales_data[[#This Row],[customer_type2]]="Member",OR(Dmart_sales_data[[#This Row],[payment_mode]]="UPI",Dmart_sales_data[[#This Row],[payment_mode]]="Card")),"yes","No")</f>
        <v>No</v>
      </c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</row>
    <row r="85" spans="1:28" ht="14.25" customHeight="1" x14ac:dyDescent="0.3">
      <c r="A85" s="8" t="s">
        <v>127</v>
      </c>
      <c r="B85" s="9" t="s">
        <v>29</v>
      </c>
      <c r="C85" s="9" t="s">
        <v>29</v>
      </c>
      <c r="D85" s="10" t="s">
        <v>25</v>
      </c>
      <c r="E85" s="10">
        <v>405.11</v>
      </c>
      <c r="F85" s="5" t="str">
        <f>IF(Dmart_sales_data[[#This Row],[sales]]&gt;3000,"High Sales",IF(Dmart_sales_data[[#This Row],[sales]]&gt;1000,"Medium Sales","Low Sales"))</f>
        <v>Low Sales</v>
      </c>
      <c r="G85" s="10">
        <v>0.34</v>
      </c>
      <c r="H85" s="10">
        <v>5</v>
      </c>
      <c r="I85" s="11">
        <v>45275</v>
      </c>
      <c r="J85" s="11">
        <v>45276</v>
      </c>
      <c r="K85" s="10" t="s">
        <v>20</v>
      </c>
      <c r="L85" s="10" t="s">
        <v>20</v>
      </c>
      <c r="M85" s="10" t="s">
        <v>21</v>
      </c>
      <c r="N85" s="10">
        <v>105.25</v>
      </c>
      <c r="O85" s="27" t="s">
        <v>35</v>
      </c>
      <c r="P85" s="12" t="s">
        <v>58</v>
      </c>
      <c r="Q85" s="55" t="str">
        <f>IF(AND(Dmart_sales_data[[#This Row],[customer_type2]]="Member",OR(Dmart_sales_data[[#This Row],[payment_mode]]="UPI",Dmart_sales_data[[#This Row],[payment_mode]]="Card")),"yes","No")</f>
        <v>No</v>
      </c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</row>
    <row r="86" spans="1:28" ht="14.25" customHeight="1" x14ac:dyDescent="0.3">
      <c r="A86" s="13" t="s">
        <v>128</v>
      </c>
      <c r="B86" s="14" t="s">
        <v>13</v>
      </c>
      <c r="C86" s="4" t="s">
        <v>13</v>
      </c>
      <c r="D86" s="15" t="s">
        <v>25</v>
      </c>
      <c r="E86" s="15">
        <v>3905.01</v>
      </c>
      <c r="F86" s="5" t="str">
        <f>IF(Dmart_sales_data[[#This Row],[sales]]&gt;3000,"High Sales",IF(Dmart_sales_data[[#This Row],[sales]]&gt;1000,"Medium Sales","Low Sales"))</f>
        <v>High Sales</v>
      </c>
      <c r="G86" s="15">
        <v>0.03</v>
      </c>
      <c r="H86" s="15">
        <v>4</v>
      </c>
      <c r="I86" s="16">
        <v>45491</v>
      </c>
      <c r="J86" s="16">
        <v>45498</v>
      </c>
      <c r="K86" s="15" t="s">
        <v>20</v>
      </c>
      <c r="L86" s="15" t="s">
        <v>20</v>
      </c>
      <c r="M86" s="15" t="s">
        <v>16</v>
      </c>
      <c r="N86" s="15">
        <v>754.77</v>
      </c>
      <c r="O86" s="27" t="s">
        <v>35</v>
      </c>
      <c r="P86" s="17" t="s">
        <v>58</v>
      </c>
      <c r="Q86" s="55" t="str">
        <f>IF(AND(Dmart_sales_data[[#This Row],[customer_type2]]="Member",OR(Dmart_sales_data[[#This Row],[payment_mode]]="UPI",Dmart_sales_data[[#This Row],[payment_mode]]="Card")),"yes","No")</f>
        <v>No</v>
      </c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</row>
    <row r="87" spans="1:28" ht="14.25" customHeight="1" x14ac:dyDescent="0.3">
      <c r="A87" s="8" t="s">
        <v>129</v>
      </c>
      <c r="B87" s="9" t="s">
        <v>576</v>
      </c>
      <c r="C87" s="9" t="s">
        <v>576</v>
      </c>
      <c r="D87" s="10" t="s">
        <v>37</v>
      </c>
      <c r="E87" s="10">
        <v>4748.67</v>
      </c>
      <c r="F87" s="5" t="str">
        <f>IF(Dmart_sales_data[[#This Row],[sales]]&gt;3000,"High Sales",IF(Dmart_sales_data[[#This Row],[sales]]&gt;1000,"Medium Sales","Low Sales"))</f>
        <v>High Sales</v>
      </c>
      <c r="G87" s="10">
        <v>0.37</v>
      </c>
      <c r="H87" s="10">
        <v>1</v>
      </c>
      <c r="I87" s="11">
        <v>45599</v>
      </c>
      <c r="J87" s="11">
        <v>45603</v>
      </c>
      <c r="K87" s="10" t="s">
        <v>20</v>
      </c>
      <c r="L87" s="10" t="s">
        <v>20</v>
      </c>
      <c r="M87" s="10" t="s">
        <v>16</v>
      </c>
      <c r="N87" s="10">
        <v>705.01</v>
      </c>
      <c r="O87" s="27" t="s">
        <v>41</v>
      </c>
      <c r="P87" s="12" t="s">
        <v>41</v>
      </c>
      <c r="Q87" s="55" t="str">
        <f>IF(AND(Dmart_sales_data[[#This Row],[customer_type2]]="Member",OR(Dmart_sales_data[[#This Row],[payment_mode]]="UPI",Dmart_sales_data[[#This Row],[payment_mode]]="Card")),"yes","No")</f>
        <v>No</v>
      </c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</row>
    <row r="88" spans="1:28" ht="14.25" customHeight="1" x14ac:dyDescent="0.3">
      <c r="A88" s="13" t="s">
        <v>130</v>
      </c>
      <c r="B88" s="14" t="s">
        <v>24</v>
      </c>
      <c r="C88" s="14" t="s">
        <v>24</v>
      </c>
      <c r="D88" s="15" t="s">
        <v>19</v>
      </c>
      <c r="E88" s="15">
        <v>2545.0700000000002</v>
      </c>
      <c r="F88" s="5" t="str">
        <f>IF(Dmart_sales_data[[#This Row],[sales]]&gt;3000,"High Sales",IF(Dmart_sales_data[[#This Row],[sales]]&gt;1000,"Medium Sales","Low Sales"))</f>
        <v>Medium Sales</v>
      </c>
      <c r="G88" s="15">
        <v>0.32</v>
      </c>
      <c r="H88" s="15">
        <v>1</v>
      </c>
      <c r="I88" s="16">
        <v>45150</v>
      </c>
      <c r="J88" s="16">
        <v>45152</v>
      </c>
      <c r="K88" s="15" t="s">
        <v>32</v>
      </c>
      <c r="L88" s="15" t="s">
        <v>32</v>
      </c>
      <c r="M88" s="15" t="s">
        <v>21</v>
      </c>
      <c r="N88" s="15">
        <v>719.11</v>
      </c>
      <c r="O88" s="27" t="s">
        <v>27</v>
      </c>
      <c r="P88" s="17" t="s">
        <v>27</v>
      </c>
      <c r="Q88" s="55" t="str">
        <f>IF(AND(Dmart_sales_data[[#This Row],[customer_type2]]="Member",OR(Dmart_sales_data[[#This Row],[payment_mode]]="UPI",Dmart_sales_data[[#This Row],[payment_mode]]="Card")),"yes","No")</f>
        <v>No</v>
      </c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</row>
    <row r="89" spans="1:28" ht="14.25" customHeight="1" x14ac:dyDescent="0.3">
      <c r="A89" s="8" t="s">
        <v>131</v>
      </c>
      <c r="B89" s="9" t="s">
        <v>29</v>
      </c>
      <c r="C89" s="9" t="s">
        <v>29</v>
      </c>
      <c r="D89" s="10" t="s">
        <v>14</v>
      </c>
      <c r="E89" s="10">
        <v>2106.65</v>
      </c>
      <c r="F89" s="5" t="str">
        <f>IF(Dmart_sales_data[[#This Row],[sales]]&gt;3000,"High Sales",IF(Dmart_sales_data[[#This Row],[sales]]&gt;1000,"Medium Sales","Low Sales"))</f>
        <v>Medium Sales</v>
      </c>
      <c r="G89" s="10">
        <v>0.15</v>
      </c>
      <c r="H89" s="10">
        <v>6</v>
      </c>
      <c r="I89" s="11">
        <v>45463</v>
      </c>
      <c r="J89" s="11">
        <v>45465</v>
      </c>
      <c r="K89" s="10" t="s">
        <v>20</v>
      </c>
      <c r="L89" s="10" t="s">
        <v>20</v>
      </c>
      <c r="M89" s="10" t="s">
        <v>16</v>
      </c>
      <c r="N89" s="10">
        <v>120.84</v>
      </c>
      <c r="O89" s="27" t="s">
        <v>79</v>
      </c>
      <c r="P89" s="12" t="s">
        <v>55</v>
      </c>
      <c r="Q89" s="55" t="str">
        <f>IF(AND(Dmart_sales_data[[#This Row],[customer_type2]]="Member",OR(Dmart_sales_data[[#This Row],[payment_mode]]="UPI",Dmart_sales_data[[#This Row],[payment_mode]]="Card")),"yes","No")</f>
        <v>No</v>
      </c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</row>
    <row r="90" spans="1:28" ht="14.25" customHeight="1" x14ac:dyDescent="0.3">
      <c r="A90" s="13" t="s">
        <v>132</v>
      </c>
      <c r="B90" s="14" t="s">
        <v>13</v>
      </c>
      <c r="C90" s="4" t="s">
        <v>13</v>
      </c>
      <c r="D90" s="15" t="s">
        <v>19</v>
      </c>
      <c r="E90" s="15">
        <v>4547.82</v>
      </c>
      <c r="F90" s="5" t="str">
        <f>IF(Dmart_sales_data[[#This Row],[sales]]&gt;3000,"High Sales",IF(Dmart_sales_data[[#This Row],[sales]]&gt;1000,"Medium Sales","Low Sales"))</f>
        <v>High Sales</v>
      </c>
      <c r="G90" s="15">
        <v>0.41</v>
      </c>
      <c r="H90" s="15">
        <v>8</v>
      </c>
      <c r="I90" s="16">
        <v>45232</v>
      </c>
      <c r="J90" s="16">
        <v>45237</v>
      </c>
      <c r="K90" s="15" t="s">
        <v>32</v>
      </c>
      <c r="L90" s="15" t="s">
        <v>32</v>
      </c>
      <c r="M90" s="15" t="s">
        <v>26</v>
      </c>
      <c r="N90" s="15">
        <v>1281.0999999999999</v>
      </c>
      <c r="O90" s="27" t="s">
        <v>35</v>
      </c>
      <c r="P90" s="17" t="s">
        <v>35</v>
      </c>
      <c r="Q90" s="55" t="str">
        <f>IF(AND(Dmart_sales_data[[#This Row],[customer_type2]]="Member",OR(Dmart_sales_data[[#This Row],[payment_mode]]="UPI",Dmart_sales_data[[#This Row],[payment_mode]]="Card")),"yes","No")</f>
        <v>No</v>
      </c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</row>
    <row r="91" spans="1:28" ht="14.25" customHeight="1" x14ac:dyDescent="0.3">
      <c r="A91" s="8" t="s">
        <v>133</v>
      </c>
      <c r="B91" s="9" t="s">
        <v>576</v>
      </c>
      <c r="C91" s="9" t="s">
        <v>576</v>
      </c>
      <c r="D91" s="10" t="s">
        <v>34</v>
      </c>
      <c r="E91" s="10">
        <v>753.6</v>
      </c>
      <c r="F91" s="5" t="str">
        <f>IF(Dmart_sales_data[[#This Row],[sales]]&gt;3000,"High Sales",IF(Dmart_sales_data[[#This Row],[sales]]&gt;1000,"Medium Sales","Low Sales"))</f>
        <v>Low Sales</v>
      </c>
      <c r="G91" s="10">
        <v>0.42</v>
      </c>
      <c r="H91" s="10">
        <v>7</v>
      </c>
      <c r="I91" s="11">
        <v>45229</v>
      </c>
      <c r="J91" s="11">
        <v>45231</v>
      </c>
      <c r="K91" s="10" t="s">
        <v>32</v>
      </c>
      <c r="L91" s="10" t="s">
        <v>32</v>
      </c>
      <c r="M91" s="10" t="s">
        <v>16</v>
      </c>
      <c r="N91" s="10">
        <v>203.17</v>
      </c>
      <c r="O91" s="27" t="s">
        <v>79</v>
      </c>
      <c r="P91" s="12" t="s">
        <v>79</v>
      </c>
      <c r="Q91" s="55" t="str">
        <f>IF(AND(Dmart_sales_data[[#This Row],[customer_type2]]="Member",OR(Dmart_sales_data[[#This Row],[payment_mode]]="UPI",Dmart_sales_data[[#This Row],[payment_mode]]="Card")),"yes","No")</f>
        <v>No</v>
      </c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</row>
    <row r="92" spans="1:28" ht="14.25" customHeight="1" x14ac:dyDescent="0.3">
      <c r="A92" s="13" t="s">
        <v>134</v>
      </c>
      <c r="B92" s="14" t="s">
        <v>24</v>
      </c>
      <c r="C92" s="14" t="s">
        <v>24</v>
      </c>
      <c r="D92" s="15" t="s">
        <v>19</v>
      </c>
      <c r="E92" s="15">
        <v>4468.76</v>
      </c>
      <c r="F92" s="5" t="str">
        <f>IF(Dmart_sales_data[[#This Row],[sales]]&gt;3000,"High Sales",IF(Dmart_sales_data[[#This Row],[sales]]&gt;1000,"Medium Sales","Low Sales"))</f>
        <v>High Sales</v>
      </c>
      <c r="G92" s="15">
        <v>0.47</v>
      </c>
      <c r="H92" s="15">
        <v>4</v>
      </c>
      <c r="I92" s="16">
        <v>45560</v>
      </c>
      <c r="J92" s="16">
        <v>45561</v>
      </c>
      <c r="K92" s="15" t="s">
        <v>20</v>
      </c>
      <c r="L92" s="15" t="s">
        <v>20</v>
      </c>
      <c r="M92" s="15" t="s">
        <v>21</v>
      </c>
      <c r="N92" s="15">
        <v>1325.93</v>
      </c>
      <c r="O92" s="27" t="s">
        <v>79</v>
      </c>
      <c r="P92" s="17" t="s">
        <v>55</v>
      </c>
      <c r="Q92" s="55" t="str">
        <f>IF(AND(Dmart_sales_data[[#This Row],[customer_type2]]="Member",OR(Dmart_sales_data[[#This Row],[payment_mode]]="UPI",Dmart_sales_data[[#This Row],[payment_mode]]="Card")),"yes","No")</f>
        <v>No</v>
      </c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</row>
    <row r="93" spans="1:28" ht="14.25" customHeight="1" x14ac:dyDescent="0.3">
      <c r="A93" s="8" t="s">
        <v>135</v>
      </c>
      <c r="B93" s="9" t="s">
        <v>29</v>
      </c>
      <c r="C93" s="9" t="s">
        <v>29</v>
      </c>
      <c r="D93" s="10" t="s">
        <v>34</v>
      </c>
      <c r="E93" s="10">
        <v>2021.42</v>
      </c>
      <c r="F93" s="5" t="str">
        <f>IF(Dmart_sales_data[[#This Row],[sales]]&gt;3000,"High Sales",IF(Dmart_sales_data[[#This Row],[sales]]&gt;1000,"Medium Sales","Low Sales"))</f>
        <v>Medium Sales</v>
      </c>
      <c r="G93" s="10">
        <v>0.21</v>
      </c>
      <c r="H93" s="10">
        <v>5</v>
      </c>
      <c r="I93" s="11">
        <v>45624</v>
      </c>
      <c r="J93" s="11">
        <v>45627</v>
      </c>
      <c r="K93" s="10" t="s">
        <v>15</v>
      </c>
      <c r="L93" s="10" t="s">
        <v>15</v>
      </c>
      <c r="M93" s="10" t="s">
        <v>21</v>
      </c>
      <c r="N93" s="10">
        <v>311.67</v>
      </c>
      <c r="O93" s="27" t="s">
        <v>35</v>
      </c>
      <c r="P93" s="12" t="s">
        <v>30</v>
      </c>
      <c r="Q93" s="55" t="str">
        <f>IF(AND(Dmart_sales_data[[#This Row],[customer_type2]]="Member",OR(Dmart_sales_data[[#This Row],[payment_mode]]="UPI",Dmart_sales_data[[#This Row],[payment_mode]]="Card")),"yes","No")</f>
        <v>yes</v>
      </c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</row>
    <row r="94" spans="1:28" ht="14.25" customHeight="1" x14ac:dyDescent="0.3">
      <c r="A94" s="13" t="s">
        <v>136</v>
      </c>
      <c r="B94" s="14" t="s">
        <v>13</v>
      </c>
      <c r="C94" s="4" t="s">
        <v>13</v>
      </c>
      <c r="D94" s="15" t="s">
        <v>25</v>
      </c>
      <c r="E94" s="15">
        <v>2841.09</v>
      </c>
      <c r="F94" s="5" t="str">
        <f>IF(Dmart_sales_data[[#This Row],[sales]]&gt;3000,"High Sales",IF(Dmart_sales_data[[#This Row],[sales]]&gt;1000,"Medium Sales","Low Sales"))</f>
        <v>Medium Sales</v>
      </c>
      <c r="G94" s="15">
        <v>0.28000000000000003</v>
      </c>
      <c r="H94" s="15">
        <v>8</v>
      </c>
      <c r="I94" s="16">
        <v>45282</v>
      </c>
      <c r="J94" s="16">
        <v>45283</v>
      </c>
      <c r="K94" s="15" t="s">
        <v>15</v>
      </c>
      <c r="L94" s="15" t="s">
        <v>15</v>
      </c>
      <c r="M94" s="15" t="s">
        <v>21</v>
      </c>
      <c r="N94" s="15">
        <v>469.27</v>
      </c>
      <c r="O94" s="27" t="s">
        <v>35</v>
      </c>
      <c r="P94" s="17" t="s">
        <v>30</v>
      </c>
      <c r="Q94" s="55" t="str">
        <f>IF(AND(Dmart_sales_data[[#This Row],[customer_type2]]="Member",OR(Dmart_sales_data[[#This Row],[payment_mode]]="UPI",Dmart_sales_data[[#This Row],[payment_mode]]="Card")),"yes","No")</f>
        <v>yes</v>
      </c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</row>
    <row r="95" spans="1:28" ht="14.25" customHeight="1" x14ac:dyDescent="0.3">
      <c r="A95" s="8" t="s">
        <v>137</v>
      </c>
      <c r="B95" s="9" t="s">
        <v>576</v>
      </c>
      <c r="C95" s="9" t="s">
        <v>576</v>
      </c>
      <c r="D95" s="10" t="s">
        <v>25</v>
      </c>
      <c r="E95" s="10">
        <v>2688.63</v>
      </c>
      <c r="F95" s="5" t="str">
        <f>IF(Dmart_sales_data[[#This Row],[sales]]&gt;3000,"High Sales",IF(Dmart_sales_data[[#This Row],[sales]]&gt;1000,"Medium Sales","Low Sales"))</f>
        <v>Medium Sales</v>
      </c>
      <c r="G95" s="10">
        <v>0.45</v>
      </c>
      <c r="H95" s="10">
        <v>6</v>
      </c>
      <c r="I95" s="11">
        <v>45504</v>
      </c>
      <c r="J95" s="11">
        <v>45510</v>
      </c>
      <c r="K95" s="10" t="s">
        <v>32</v>
      </c>
      <c r="L95" s="10" t="s">
        <v>32</v>
      </c>
      <c r="M95" s="10" t="s">
        <v>26</v>
      </c>
      <c r="N95" s="10">
        <v>608.51</v>
      </c>
      <c r="O95" s="27" t="s">
        <v>100</v>
      </c>
      <c r="P95" s="12" t="s">
        <v>100</v>
      </c>
      <c r="Q95" s="55" t="str">
        <f>IF(AND(Dmart_sales_data[[#This Row],[customer_type2]]="Member",OR(Dmart_sales_data[[#This Row],[payment_mode]]="UPI",Dmart_sales_data[[#This Row],[payment_mode]]="Card")),"yes","No")</f>
        <v>No</v>
      </c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</row>
    <row r="96" spans="1:28" ht="14.25" customHeight="1" x14ac:dyDescent="0.3">
      <c r="A96" s="13" t="s">
        <v>138</v>
      </c>
      <c r="B96" s="14" t="s">
        <v>24</v>
      </c>
      <c r="C96" s="14" t="s">
        <v>24</v>
      </c>
      <c r="D96" s="15" t="s">
        <v>37</v>
      </c>
      <c r="E96" s="15">
        <v>3118.3</v>
      </c>
      <c r="F96" s="5" t="str">
        <f>IF(Dmart_sales_data[[#This Row],[sales]]&gt;3000,"High Sales",IF(Dmart_sales_data[[#This Row],[sales]]&gt;1000,"Medium Sales","Low Sales"))</f>
        <v>High Sales</v>
      </c>
      <c r="G96" s="15">
        <v>0.16</v>
      </c>
      <c r="H96" s="15">
        <v>8</v>
      </c>
      <c r="I96" s="16">
        <v>45645</v>
      </c>
      <c r="J96" s="16">
        <v>45647</v>
      </c>
      <c r="K96" s="15" t="s">
        <v>32</v>
      </c>
      <c r="L96" s="15" t="s">
        <v>32</v>
      </c>
      <c r="M96" s="15" t="s">
        <v>16</v>
      </c>
      <c r="N96" s="15">
        <v>241.86</v>
      </c>
      <c r="O96" s="27" t="s">
        <v>35</v>
      </c>
      <c r="P96" s="17" t="s">
        <v>35</v>
      </c>
      <c r="Q96" s="55" t="str">
        <f>IF(AND(Dmart_sales_data[[#This Row],[customer_type2]]="Member",OR(Dmart_sales_data[[#This Row],[payment_mode]]="UPI",Dmart_sales_data[[#This Row],[payment_mode]]="Card")),"yes","No")</f>
        <v>No</v>
      </c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</row>
    <row r="97" spans="1:28" ht="14.25" customHeight="1" x14ac:dyDescent="0.3">
      <c r="A97" s="8" t="s">
        <v>139</v>
      </c>
      <c r="B97" s="9" t="s">
        <v>29</v>
      </c>
      <c r="C97" s="9" t="s">
        <v>29</v>
      </c>
      <c r="D97" s="10" t="s">
        <v>19</v>
      </c>
      <c r="E97" s="10">
        <v>4716.3999999999996</v>
      </c>
      <c r="F97" s="5" t="str">
        <f>IF(Dmart_sales_data[[#This Row],[sales]]&gt;3000,"High Sales",IF(Dmart_sales_data[[#This Row],[sales]]&gt;1000,"Medium Sales","Low Sales"))</f>
        <v>High Sales</v>
      </c>
      <c r="G97" s="10">
        <v>0.4</v>
      </c>
      <c r="H97" s="10">
        <v>6</v>
      </c>
      <c r="I97" s="11">
        <v>45195</v>
      </c>
      <c r="J97" s="11">
        <v>45199</v>
      </c>
      <c r="K97" s="10" t="s">
        <v>15</v>
      </c>
      <c r="L97" s="10" t="s">
        <v>15</v>
      </c>
      <c r="M97" s="10" t="s">
        <v>21</v>
      </c>
      <c r="N97" s="10">
        <v>523.02</v>
      </c>
      <c r="O97" s="27" t="s">
        <v>17</v>
      </c>
      <c r="P97" s="12" t="s">
        <v>95</v>
      </c>
      <c r="Q97" s="55" t="str">
        <f>IF(AND(Dmart_sales_data[[#This Row],[customer_type2]]="Member",OR(Dmart_sales_data[[#This Row],[payment_mode]]="UPI",Dmart_sales_data[[#This Row],[payment_mode]]="Card")),"yes","No")</f>
        <v>yes</v>
      </c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</row>
    <row r="98" spans="1:28" ht="14.25" customHeight="1" x14ac:dyDescent="0.3">
      <c r="A98" s="13" t="s">
        <v>140</v>
      </c>
      <c r="B98" s="14" t="s">
        <v>13</v>
      </c>
      <c r="C98" s="4" t="s">
        <v>13</v>
      </c>
      <c r="D98" s="15" t="s">
        <v>19</v>
      </c>
      <c r="E98" s="15">
        <v>4760.5200000000004</v>
      </c>
      <c r="F98" s="5" t="str">
        <f>IF(Dmart_sales_data[[#This Row],[sales]]&gt;3000,"High Sales",IF(Dmart_sales_data[[#This Row],[sales]]&gt;1000,"Medium Sales","Low Sales"))</f>
        <v>High Sales</v>
      </c>
      <c r="G98" s="15">
        <v>0.5</v>
      </c>
      <c r="H98" s="15">
        <v>8</v>
      </c>
      <c r="I98" s="16">
        <v>44941</v>
      </c>
      <c r="J98" s="16">
        <v>44947</v>
      </c>
      <c r="K98" s="15" t="s">
        <v>32</v>
      </c>
      <c r="L98" s="15" t="s">
        <v>32</v>
      </c>
      <c r="M98" s="15" t="s">
        <v>26</v>
      </c>
      <c r="N98" s="15">
        <v>764.06</v>
      </c>
      <c r="O98" s="27" t="s">
        <v>41</v>
      </c>
      <c r="P98" s="17" t="s">
        <v>68</v>
      </c>
      <c r="Q98" s="55" t="str">
        <f>IF(AND(Dmart_sales_data[[#This Row],[customer_type2]]="Member",OR(Dmart_sales_data[[#This Row],[payment_mode]]="UPI",Dmart_sales_data[[#This Row],[payment_mode]]="Card")),"yes","No")</f>
        <v>No</v>
      </c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</row>
    <row r="99" spans="1:28" ht="14.25" customHeight="1" x14ac:dyDescent="0.3">
      <c r="A99" s="8" t="s">
        <v>141</v>
      </c>
      <c r="B99" s="9" t="s">
        <v>576</v>
      </c>
      <c r="C99" s="9" t="s">
        <v>576</v>
      </c>
      <c r="D99" s="10" t="s">
        <v>34</v>
      </c>
      <c r="E99" s="10">
        <v>4172.63</v>
      </c>
      <c r="F99" s="5" t="str">
        <f>IF(Dmart_sales_data[[#This Row],[sales]]&gt;3000,"High Sales",IF(Dmart_sales_data[[#This Row],[sales]]&gt;1000,"Medium Sales","Low Sales"))</f>
        <v>High Sales</v>
      </c>
      <c r="G99" s="10">
        <v>0.33</v>
      </c>
      <c r="H99" s="10">
        <v>4</v>
      </c>
      <c r="I99" s="11">
        <v>45444</v>
      </c>
      <c r="J99" s="11">
        <v>45448</v>
      </c>
      <c r="K99" s="10" t="s">
        <v>15</v>
      </c>
      <c r="L99" s="10" t="s">
        <v>15</v>
      </c>
      <c r="M99" s="10" t="s">
        <v>26</v>
      </c>
      <c r="N99" s="10">
        <v>957.31</v>
      </c>
      <c r="O99" s="27" t="s">
        <v>35</v>
      </c>
      <c r="P99" s="12" t="s">
        <v>58</v>
      </c>
      <c r="Q99" s="55" t="str">
        <f>IF(AND(Dmart_sales_data[[#This Row],[customer_type2]]="Member",OR(Dmart_sales_data[[#This Row],[payment_mode]]="UPI",Dmart_sales_data[[#This Row],[payment_mode]]="Card")),"yes","No")</f>
        <v>No</v>
      </c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</row>
    <row r="100" spans="1:28" ht="14.25" customHeight="1" x14ac:dyDescent="0.3">
      <c r="A100" s="13" t="s">
        <v>142</v>
      </c>
      <c r="B100" s="14" t="s">
        <v>24</v>
      </c>
      <c r="C100" s="14" t="s">
        <v>24</v>
      </c>
      <c r="D100" s="15" t="s">
        <v>25</v>
      </c>
      <c r="E100" s="15">
        <v>1038.57</v>
      </c>
      <c r="F100" s="5" t="str">
        <f>IF(Dmart_sales_data[[#This Row],[sales]]&gt;3000,"High Sales",IF(Dmart_sales_data[[#This Row],[sales]]&gt;1000,"Medium Sales","Low Sales"))</f>
        <v>Medium Sales</v>
      </c>
      <c r="G100" s="15">
        <v>0.49</v>
      </c>
      <c r="H100" s="15">
        <v>2</v>
      </c>
      <c r="I100" s="16">
        <v>45179</v>
      </c>
      <c r="J100" s="16">
        <v>45185</v>
      </c>
      <c r="K100" s="15" t="s">
        <v>32</v>
      </c>
      <c r="L100" s="15" t="s">
        <v>32</v>
      </c>
      <c r="M100" s="15" t="s">
        <v>21</v>
      </c>
      <c r="N100" s="15">
        <v>180.83</v>
      </c>
      <c r="O100" s="27" t="s">
        <v>100</v>
      </c>
      <c r="P100" s="17" t="s">
        <v>63</v>
      </c>
      <c r="Q100" s="55" t="str">
        <f>IF(AND(Dmart_sales_data[[#This Row],[customer_type2]]="Member",OR(Dmart_sales_data[[#This Row],[payment_mode]]="UPI",Dmart_sales_data[[#This Row],[payment_mode]]="Card")),"yes","No")</f>
        <v>No</v>
      </c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</row>
    <row r="101" spans="1:28" ht="14.25" customHeight="1" x14ac:dyDescent="0.3">
      <c r="A101" s="8" t="s">
        <v>143</v>
      </c>
      <c r="B101" s="9" t="s">
        <v>29</v>
      </c>
      <c r="C101" s="9" t="s">
        <v>29</v>
      </c>
      <c r="D101" s="10" t="s">
        <v>34</v>
      </c>
      <c r="E101" s="10">
        <v>1734.23</v>
      </c>
      <c r="F101" s="5" t="str">
        <f>IF(Dmart_sales_data[[#This Row],[sales]]&gt;3000,"High Sales",IF(Dmart_sales_data[[#This Row],[sales]]&gt;1000,"Medium Sales","Low Sales"))</f>
        <v>Medium Sales</v>
      </c>
      <c r="G101" s="10">
        <v>0.26</v>
      </c>
      <c r="H101" s="10">
        <v>3</v>
      </c>
      <c r="I101" s="11">
        <v>45011</v>
      </c>
      <c r="J101" s="11">
        <v>45012</v>
      </c>
      <c r="K101" s="10" t="s">
        <v>32</v>
      </c>
      <c r="L101" s="10" t="s">
        <v>32</v>
      </c>
      <c r="M101" s="10" t="s">
        <v>21</v>
      </c>
      <c r="N101" s="10">
        <v>186.24</v>
      </c>
      <c r="O101" s="27" t="s">
        <v>27</v>
      </c>
      <c r="P101" s="12" t="s">
        <v>48</v>
      </c>
      <c r="Q101" s="55" t="str">
        <f>IF(AND(Dmart_sales_data[[#This Row],[customer_type2]]="Member",OR(Dmart_sales_data[[#This Row],[payment_mode]]="UPI",Dmart_sales_data[[#This Row],[payment_mode]]="Card")),"yes","No")</f>
        <v>No</v>
      </c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</row>
    <row r="102" spans="1:28" ht="14.25" customHeight="1" x14ac:dyDescent="0.3">
      <c r="A102" s="13" t="s">
        <v>144</v>
      </c>
      <c r="B102" s="14" t="s">
        <v>13</v>
      </c>
      <c r="C102" s="4" t="s">
        <v>13</v>
      </c>
      <c r="D102" s="15" t="s">
        <v>25</v>
      </c>
      <c r="E102" s="15">
        <v>2490.34</v>
      </c>
      <c r="F102" s="5" t="str">
        <f>IF(Dmart_sales_data[[#This Row],[sales]]&gt;3000,"High Sales",IF(Dmart_sales_data[[#This Row],[sales]]&gt;1000,"Medium Sales","Low Sales"))</f>
        <v>Medium Sales</v>
      </c>
      <c r="G102" s="15">
        <v>0.08</v>
      </c>
      <c r="H102" s="15">
        <v>5</v>
      </c>
      <c r="I102" s="16">
        <v>45480</v>
      </c>
      <c r="J102" s="16">
        <v>45481</v>
      </c>
      <c r="K102" s="15" t="s">
        <v>20</v>
      </c>
      <c r="L102" s="15" t="s">
        <v>20</v>
      </c>
      <c r="M102" s="15" t="s">
        <v>26</v>
      </c>
      <c r="N102" s="15">
        <v>306.17</v>
      </c>
      <c r="O102" s="27" t="s">
        <v>35</v>
      </c>
      <c r="P102" s="17" t="s">
        <v>30</v>
      </c>
      <c r="Q102" s="55" t="str">
        <f>IF(AND(Dmart_sales_data[[#This Row],[customer_type2]]="Member",OR(Dmart_sales_data[[#This Row],[payment_mode]]="UPI",Dmart_sales_data[[#This Row],[payment_mode]]="Card")),"yes","No")</f>
        <v>No</v>
      </c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</row>
    <row r="103" spans="1:28" ht="14.25" customHeight="1" x14ac:dyDescent="0.3">
      <c r="A103" s="8" t="s">
        <v>145</v>
      </c>
      <c r="B103" s="9" t="s">
        <v>576</v>
      </c>
      <c r="C103" s="9" t="s">
        <v>576</v>
      </c>
      <c r="D103" s="10" t="s">
        <v>34</v>
      </c>
      <c r="E103" s="10">
        <v>4536.76</v>
      </c>
      <c r="F103" s="5" t="str">
        <f>IF(Dmart_sales_data[[#This Row],[sales]]&gt;3000,"High Sales",IF(Dmart_sales_data[[#This Row],[sales]]&gt;1000,"Medium Sales","Low Sales"))</f>
        <v>High Sales</v>
      </c>
      <c r="G103" s="10">
        <v>0.09</v>
      </c>
      <c r="H103" s="10">
        <v>4</v>
      </c>
      <c r="I103" s="11">
        <v>45656</v>
      </c>
      <c r="J103" s="11">
        <v>45657</v>
      </c>
      <c r="K103" s="10" t="s">
        <v>15</v>
      </c>
      <c r="L103" s="10" t="s">
        <v>15</v>
      </c>
      <c r="M103" s="10" t="s">
        <v>21</v>
      </c>
      <c r="N103" s="10">
        <v>1077.1099999999999</v>
      </c>
      <c r="O103" s="27" t="s">
        <v>41</v>
      </c>
      <c r="P103" s="12" t="s">
        <v>41</v>
      </c>
      <c r="Q103" s="55" t="str">
        <f>IF(AND(Dmart_sales_data[[#This Row],[customer_type2]]="Member",OR(Dmart_sales_data[[#This Row],[payment_mode]]="UPI",Dmart_sales_data[[#This Row],[payment_mode]]="Card")),"yes","No")</f>
        <v>yes</v>
      </c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</row>
    <row r="104" spans="1:28" ht="14.25" customHeight="1" x14ac:dyDescent="0.3">
      <c r="A104" s="13" t="s">
        <v>146</v>
      </c>
      <c r="B104" s="14" t="s">
        <v>24</v>
      </c>
      <c r="C104" s="14" t="s">
        <v>24</v>
      </c>
      <c r="D104" s="15" t="s">
        <v>25</v>
      </c>
      <c r="E104" s="15">
        <v>2652.24</v>
      </c>
      <c r="F104" s="5" t="str">
        <f>IF(Dmart_sales_data[[#This Row],[sales]]&gt;3000,"High Sales",IF(Dmart_sales_data[[#This Row],[sales]]&gt;1000,"Medium Sales","Low Sales"))</f>
        <v>Medium Sales</v>
      </c>
      <c r="G104" s="15">
        <v>0.37</v>
      </c>
      <c r="H104" s="15">
        <v>5</v>
      </c>
      <c r="I104" s="16">
        <v>45089</v>
      </c>
      <c r="J104" s="16">
        <v>45090</v>
      </c>
      <c r="K104" s="15" t="s">
        <v>32</v>
      </c>
      <c r="L104" s="15" t="s">
        <v>32</v>
      </c>
      <c r="M104" s="15" t="s">
        <v>21</v>
      </c>
      <c r="N104" s="15">
        <v>666.98</v>
      </c>
      <c r="O104" s="27" t="s">
        <v>79</v>
      </c>
      <c r="P104" s="17" t="s">
        <v>22</v>
      </c>
      <c r="Q104" s="55" t="str">
        <f>IF(AND(Dmart_sales_data[[#This Row],[customer_type2]]="Member",OR(Dmart_sales_data[[#This Row],[payment_mode]]="UPI",Dmart_sales_data[[#This Row],[payment_mode]]="Card")),"yes","No")</f>
        <v>No</v>
      </c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</row>
    <row r="105" spans="1:28" ht="14.25" customHeight="1" x14ac:dyDescent="0.3">
      <c r="A105" s="8" t="s">
        <v>147</v>
      </c>
      <c r="B105" s="9" t="s">
        <v>29</v>
      </c>
      <c r="C105" s="9" t="s">
        <v>29</v>
      </c>
      <c r="D105" s="10" t="s">
        <v>34</v>
      </c>
      <c r="E105" s="10">
        <v>4889.43</v>
      </c>
      <c r="F105" s="5" t="str">
        <f>IF(Dmart_sales_data[[#This Row],[sales]]&gt;3000,"High Sales",IF(Dmart_sales_data[[#This Row],[sales]]&gt;1000,"Medium Sales","Low Sales"))</f>
        <v>High Sales</v>
      </c>
      <c r="G105" s="10">
        <v>0</v>
      </c>
      <c r="H105" s="10">
        <v>1</v>
      </c>
      <c r="I105" s="11">
        <v>45163</v>
      </c>
      <c r="J105" s="11">
        <v>45170</v>
      </c>
      <c r="K105" s="10" t="s">
        <v>15</v>
      </c>
      <c r="L105" s="10" t="s">
        <v>15</v>
      </c>
      <c r="M105" s="10" t="s">
        <v>26</v>
      </c>
      <c r="N105" s="10">
        <v>777.62</v>
      </c>
      <c r="O105" s="27" t="s">
        <v>79</v>
      </c>
      <c r="P105" s="12" t="s">
        <v>22</v>
      </c>
      <c r="Q105" s="55" t="str">
        <f>IF(AND(Dmart_sales_data[[#This Row],[customer_type2]]="Member",OR(Dmart_sales_data[[#This Row],[payment_mode]]="UPI",Dmart_sales_data[[#This Row],[payment_mode]]="Card")),"yes","No")</f>
        <v>No</v>
      </c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</row>
    <row r="106" spans="1:28" ht="14.25" customHeight="1" x14ac:dyDescent="0.3">
      <c r="A106" s="13" t="s">
        <v>148</v>
      </c>
      <c r="B106" s="14" t="s">
        <v>13</v>
      </c>
      <c r="C106" s="4" t="s">
        <v>13</v>
      </c>
      <c r="D106" s="15" t="s">
        <v>25</v>
      </c>
      <c r="E106" s="15">
        <v>4920.82</v>
      </c>
      <c r="F106" s="5" t="str">
        <f>IF(Dmart_sales_data[[#This Row],[sales]]&gt;3000,"High Sales",IF(Dmart_sales_data[[#This Row],[sales]]&gt;1000,"Medium Sales","Low Sales"))</f>
        <v>High Sales</v>
      </c>
      <c r="G106" s="15">
        <v>0.33</v>
      </c>
      <c r="H106" s="15">
        <v>1</v>
      </c>
      <c r="I106" s="16">
        <v>45008</v>
      </c>
      <c r="J106" s="16">
        <v>45013</v>
      </c>
      <c r="K106" s="15" t="s">
        <v>20</v>
      </c>
      <c r="L106" s="15" t="s">
        <v>20</v>
      </c>
      <c r="M106" s="15" t="s">
        <v>16</v>
      </c>
      <c r="N106" s="15">
        <v>483.88</v>
      </c>
      <c r="O106" s="27" t="s">
        <v>17</v>
      </c>
      <c r="P106" s="17" t="s">
        <v>95</v>
      </c>
      <c r="Q106" s="55" t="str">
        <f>IF(AND(Dmart_sales_data[[#This Row],[customer_type2]]="Member",OR(Dmart_sales_data[[#This Row],[payment_mode]]="UPI",Dmart_sales_data[[#This Row],[payment_mode]]="Card")),"yes","No")</f>
        <v>No</v>
      </c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</row>
    <row r="107" spans="1:28" ht="14.25" customHeight="1" x14ac:dyDescent="0.3">
      <c r="A107" s="8" t="s">
        <v>149</v>
      </c>
      <c r="B107" s="9" t="s">
        <v>576</v>
      </c>
      <c r="C107" s="9" t="s">
        <v>576</v>
      </c>
      <c r="D107" s="10" t="s">
        <v>34</v>
      </c>
      <c r="E107" s="10">
        <v>3033.06</v>
      </c>
      <c r="F107" s="5" t="str">
        <f>IF(Dmart_sales_data[[#This Row],[sales]]&gt;3000,"High Sales",IF(Dmart_sales_data[[#This Row],[sales]]&gt;1000,"Medium Sales","Low Sales"))</f>
        <v>High Sales</v>
      </c>
      <c r="G107" s="10">
        <v>0.08</v>
      </c>
      <c r="H107" s="10">
        <v>2</v>
      </c>
      <c r="I107" s="11">
        <v>45516</v>
      </c>
      <c r="J107" s="11">
        <v>45517</v>
      </c>
      <c r="K107" s="10" t="s">
        <v>15</v>
      </c>
      <c r="L107" s="10" t="s">
        <v>15</v>
      </c>
      <c r="M107" s="10" t="s">
        <v>21</v>
      </c>
      <c r="N107" s="10">
        <v>587.57000000000005</v>
      </c>
      <c r="O107" s="27" t="s">
        <v>79</v>
      </c>
      <c r="P107" s="12" t="s">
        <v>55</v>
      </c>
      <c r="Q107" s="55" t="str">
        <f>IF(AND(Dmart_sales_data[[#This Row],[customer_type2]]="Member",OR(Dmart_sales_data[[#This Row],[payment_mode]]="UPI",Dmart_sales_data[[#This Row],[payment_mode]]="Card")),"yes","No")</f>
        <v>yes</v>
      </c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</row>
    <row r="108" spans="1:28" ht="14.25" customHeight="1" x14ac:dyDescent="0.3">
      <c r="A108" s="13" t="s">
        <v>150</v>
      </c>
      <c r="B108" s="14" t="s">
        <v>24</v>
      </c>
      <c r="C108" s="14" t="s">
        <v>24</v>
      </c>
      <c r="D108" s="15" t="s">
        <v>19</v>
      </c>
      <c r="E108" s="15">
        <v>4399.7299999999996</v>
      </c>
      <c r="F108" s="5" t="str">
        <f>IF(Dmart_sales_data[[#This Row],[sales]]&gt;3000,"High Sales",IF(Dmart_sales_data[[#This Row],[sales]]&gt;1000,"Medium Sales","Low Sales"))</f>
        <v>High Sales</v>
      </c>
      <c r="G108" s="15">
        <v>0.49</v>
      </c>
      <c r="H108" s="15">
        <v>2</v>
      </c>
      <c r="I108" s="16">
        <v>45328</v>
      </c>
      <c r="J108" s="16">
        <v>45333</v>
      </c>
      <c r="K108" s="15" t="s">
        <v>32</v>
      </c>
      <c r="L108" s="15" t="s">
        <v>32</v>
      </c>
      <c r="M108" s="15" t="s">
        <v>26</v>
      </c>
      <c r="N108" s="15">
        <v>660.08</v>
      </c>
      <c r="O108" s="27" t="s">
        <v>35</v>
      </c>
      <c r="P108" s="17" t="s">
        <v>58</v>
      </c>
      <c r="Q108" s="55" t="str">
        <f>IF(AND(Dmart_sales_data[[#This Row],[customer_type2]]="Member",OR(Dmart_sales_data[[#This Row],[payment_mode]]="UPI",Dmart_sales_data[[#This Row],[payment_mode]]="Card")),"yes","No")</f>
        <v>No</v>
      </c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</row>
    <row r="109" spans="1:28" ht="14.25" customHeight="1" x14ac:dyDescent="0.3">
      <c r="A109" s="8" t="s">
        <v>151</v>
      </c>
      <c r="B109" s="9" t="s">
        <v>29</v>
      </c>
      <c r="C109" s="9" t="s">
        <v>29</v>
      </c>
      <c r="D109" s="10" t="s">
        <v>37</v>
      </c>
      <c r="E109" s="10">
        <v>4996.1899999999996</v>
      </c>
      <c r="F109" s="5" t="str">
        <f>IF(Dmart_sales_data[[#This Row],[sales]]&gt;3000,"High Sales",IF(Dmart_sales_data[[#This Row],[sales]]&gt;1000,"Medium Sales","Low Sales"))</f>
        <v>High Sales</v>
      </c>
      <c r="G109" s="10">
        <v>0.08</v>
      </c>
      <c r="H109" s="10">
        <v>8</v>
      </c>
      <c r="I109" s="11">
        <v>45074</v>
      </c>
      <c r="J109" s="11">
        <v>45076</v>
      </c>
      <c r="K109" s="10" t="s">
        <v>15</v>
      </c>
      <c r="L109" s="10" t="s">
        <v>15</v>
      </c>
      <c r="M109" s="10" t="s">
        <v>21</v>
      </c>
      <c r="N109" s="10">
        <v>1047.8699999999999</v>
      </c>
      <c r="O109" s="27" t="s">
        <v>79</v>
      </c>
      <c r="P109" s="12" t="s">
        <v>79</v>
      </c>
      <c r="Q109" s="55" t="str">
        <f>IF(AND(Dmart_sales_data[[#This Row],[customer_type2]]="Member",OR(Dmart_sales_data[[#This Row],[payment_mode]]="UPI",Dmart_sales_data[[#This Row],[payment_mode]]="Card")),"yes","No")</f>
        <v>yes</v>
      </c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</row>
    <row r="110" spans="1:28" ht="14.25" customHeight="1" x14ac:dyDescent="0.3">
      <c r="A110" s="13" t="s">
        <v>152</v>
      </c>
      <c r="B110" s="14" t="s">
        <v>13</v>
      </c>
      <c r="C110" s="4" t="s">
        <v>13</v>
      </c>
      <c r="D110" s="15" t="s">
        <v>34</v>
      </c>
      <c r="E110" s="15">
        <v>4263.6099999999997</v>
      </c>
      <c r="F110" s="5" t="str">
        <f>IF(Dmart_sales_data[[#This Row],[sales]]&gt;3000,"High Sales",IF(Dmart_sales_data[[#This Row],[sales]]&gt;1000,"Medium Sales","Low Sales"))</f>
        <v>High Sales</v>
      </c>
      <c r="G110" s="15">
        <v>0.28000000000000003</v>
      </c>
      <c r="H110" s="15">
        <v>4</v>
      </c>
      <c r="I110" s="16">
        <v>45363</v>
      </c>
      <c r="J110" s="16">
        <v>45364</v>
      </c>
      <c r="K110" s="15" t="s">
        <v>20</v>
      </c>
      <c r="L110" s="15" t="s">
        <v>20</v>
      </c>
      <c r="M110" s="15" t="s">
        <v>21</v>
      </c>
      <c r="N110" s="15">
        <v>1092.43</v>
      </c>
      <c r="O110" s="27" t="s">
        <v>17</v>
      </c>
      <c r="P110" s="17" t="s">
        <v>52</v>
      </c>
      <c r="Q110" s="55" t="str">
        <f>IF(AND(Dmart_sales_data[[#This Row],[customer_type2]]="Member",OR(Dmart_sales_data[[#This Row],[payment_mode]]="UPI",Dmart_sales_data[[#This Row],[payment_mode]]="Card")),"yes","No")</f>
        <v>No</v>
      </c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</row>
    <row r="111" spans="1:28" ht="14.25" customHeight="1" x14ac:dyDescent="0.3">
      <c r="A111" s="8" t="s">
        <v>153</v>
      </c>
      <c r="B111" s="9" t="s">
        <v>576</v>
      </c>
      <c r="C111" s="9" t="s">
        <v>576</v>
      </c>
      <c r="D111" s="10" t="s">
        <v>37</v>
      </c>
      <c r="E111" s="10">
        <v>3318.86</v>
      </c>
      <c r="F111" s="5" t="str">
        <f>IF(Dmart_sales_data[[#This Row],[sales]]&gt;3000,"High Sales",IF(Dmart_sales_data[[#This Row],[sales]]&gt;1000,"Medium Sales","Low Sales"))</f>
        <v>High Sales</v>
      </c>
      <c r="G111" s="10">
        <v>0.33</v>
      </c>
      <c r="H111" s="10">
        <v>6</v>
      </c>
      <c r="I111" s="11">
        <v>45547</v>
      </c>
      <c r="J111" s="11">
        <v>45554</v>
      </c>
      <c r="K111" s="10" t="s">
        <v>15</v>
      </c>
      <c r="L111" s="10" t="s">
        <v>15</v>
      </c>
      <c r="M111" s="10" t="s">
        <v>16</v>
      </c>
      <c r="N111" s="10">
        <v>604.07000000000005</v>
      </c>
      <c r="O111" s="27" t="s">
        <v>27</v>
      </c>
      <c r="P111" s="12" t="s">
        <v>39</v>
      </c>
      <c r="Q111" s="55" t="str">
        <f>IF(AND(Dmart_sales_data[[#This Row],[customer_type2]]="Member",OR(Dmart_sales_data[[#This Row],[payment_mode]]="UPI",Dmart_sales_data[[#This Row],[payment_mode]]="Card")),"yes","No")</f>
        <v>yes</v>
      </c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</row>
    <row r="112" spans="1:28" ht="14.25" customHeight="1" x14ac:dyDescent="0.3">
      <c r="A112" s="13" t="s">
        <v>154</v>
      </c>
      <c r="B112" s="14" t="s">
        <v>24</v>
      </c>
      <c r="C112" s="14" t="s">
        <v>24</v>
      </c>
      <c r="D112" s="15" t="s">
        <v>19</v>
      </c>
      <c r="E112" s="15">
        <v>4241.1499999999996</v>
      </c>
      <c r="F112" s="5" t="str">
        <f>IF(Dmart_sales_data[[#This Row],[sales]]&gt;3000,"High Sales",IF(Dmart_sales_data[[#This Row],[sales]]&gt;1000,"Medium Sales","Low Sales"))</f>
        <v>High Sales</v>
      </c>
      <c r="G112" s="15">
        <v>0.41</v>
      </c>
      <c r="H112" s="15">
        <v>2</v>
      </c>
      <c r="I112" s="16">
        <v>45486</v>
      </c>
      <c r="J112" s="16">
        <v>45487</v>
      </c>
      <c r="K112" s="15" t="s">
        <v>15</v>
      </c>
      <c r="L112" s="15" t="s">
        <v>15</v>
      </c>
      <c r="M112" s="15" t="s">
        <v>21</v>
      </c>
      <c r="N112" s="15">
        <v>1168.31</v>
      </c>
      <c r="O112" s="27" t="s">
        <v>100</v>
      </c>
      <c r="P112" s="17" t="s">
        <v>63</v>
      </c>
      <c r="Q112" s="55" t="str">
        <f>IF(AND(Dmart_sales_data[[#This Row],[customer_type2]]="Member",OR(Dmart_sales_data[[#This Row],[payment_mode]]="UPI",Dmart_sales_data[[#This Row],[payment_mode]]="Card")),"yes","No")</f>
        <v>yes</v>
      </c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</row>
    <row r="113" spans="1:28" ht="14.25" customHeight="1" x14ac:dyDescent="0.3">
      <c r="A113" s="8" t="s">
        <v>155</v>
      </c>
      <c r="B113" s="9" t="s">
        <v>29</v>
      </c>
      <c r="C113" s="9" t="s">
        <v>29</v>
      </c>
      <c r="D113" s="10" t="s">
        <v>19</v>
      </c>
      <c r="E113" s="10">
        <v>505.01</v>
      </c>
      <c r="F113" s="5" t="str">
        <f>IF(Dmart_sales_data[[#This Row],[sales]]&gt;3000,"High Sales",IF(Dmart_sales_data[[#This Row],[sales]]&gt;1000,"Medium Sales","Low Sales"))</f>
        <v>Low Sales</v>
      </c>
      <c r="G113" s="10">
        <v>0.23</v>
      </c>
      <c r="H113" s="10">
        <v>1</v>
      </c>
      <c r="I113" s="11">
        <v>45081</v>
      </c>
      <c r="J113" s="11">
        <v>45088</v>
      </c>
      <c r="K113" s="10" t="s">
        <v>15</v>
      </c>
      <c r="L113" s="10" t="s">
        <v>15</v>
      </c>
      <c r="M113" s="10" t="s">
        <v>21</v>
      </c>
      <c r="N113" s="10">
        <v>71.8</v>
      </c>
      <c r="O113" s="27" t="s">
        <v>41</v>
      </c>
      <c r="P113" s="12" t="s">
        <v>68</v>
      </c>
      <c r="Q113" s="55" t="str">
        <f>IF(AND(Dmart_sales_data[[#This Row],[customer_type2]]="Member",OR(Dmart_sales_data[[#This Row],[payment_mode]]="UPI",Dmart_sales_data[[#This Row],[payment_mode]]="Card")),"yes","No")</f>
        <v>yes</v>
      </c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</row>
    <row r="114" spans="1:28" ht="14.25" customHeight="1" x14ac:dyDescent="0.3">
      <c r="A114" s="13" t="s">
        <v>156</v>
      </c>
      <c r="B114" s="14" t="s">
        <v>13</v>
      </c>
      <c r="C114" s="4" t="s">
        <v>13</v>
      </c>
      <c r="D114" s="15" t="s">
        <v>25</v>
      </c>
      <c r="E114" s="15">
        <v>3210.62</v>
      </c>
      <c r="F114" s="5" t="str">
        <f>IF(Dmart_sales_data[[#This Row],[sales]]&gt;3000,"High Sales",IF(Dmart_sales_data[[#This Row],[sales]]&gt;1000,"Medium Sales","Low Sales"))</f>
        <v>High Sales</v>
      </c>
      <c r="G114" s="15">
        <v>0.47</v>
      </c>
      <c r="H114" s="15">
        <v>7</v>
      </c>
      <c r="I114" s="16">
        <v>45514</v>
      </c>
      <c r="J114" s="16">
        <v>45518</v>
      </c>
      <c r="K114" s="15" t="s">
        <v>15</v>
      </c>
      <c r="L114" s="15" t="s">
        <v>15</v>
      </c>
      <c r="M114" s="15" t="s">
        <v>21</v>
      </c>
      <c r="N114" s="15">
        <v>546.45000000000005</v>
      </c>
      <c r="O114" s="27" t="s">
        <v>35</v>
      </c>
      <c r="P114" s="17" t="s">
        <v>58</v>
      </c>
      <c r="Q114" s="55" t="str">
        <f>IF(AND(Dmart_sales_data[[#This Row],[customer_type2]]="Member",OR(Dmart_sales_data[[#This Row],[payment_mode]]="UPI",Dmart_sales_data[[#This Row],[payment_mode]]="Card")),"yes","No")</f>
        <v>yes</v>
      </c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</row>
    <row r="115" spans="1:28" ht="14.25" customHeight="1" x14ac:dyDescent="0.3">
      <c r="A115" s="8" t="s">
        <v>157</v>
      </c>
      <c r="B115" s="9" t="s">
        <v>576</v>
      </c>
      <c r="C115" s="9" t="s">
        <v>576</v>
      </c>
      <c r="D115" s="10" t="s">
        <v>37</v>
      </c>
      <c r="E115" s="10">
        <v>1160.96</v>
      </c>
      <c r="F115" s="5" t="str">
        <f>IF(Dmart_sales_data[[#This Row],[sales]]&gt;3000,"High Sales",IF(Dmart_sales_data[[#This Row],[sales]]&gt;1000,"Medium Sales","Low Sales"))</f>
        <v>Medium Sales</v>
      </c>
      <c r="G115" s="10">
        <v>0.24</v>
      </c>
      <c r="H115" s="10">
        <v>4</v>
      </c>
      <c r="I115" s="11">
        <v>45055</v>
      </c>
      <c r="J115" s="11">
        <v>45057</v>
      </c>
      <c r="K115" s="10" t="s">
        <v>32</v>
      </c>
      <c r="L115" s="10" t="s">
        <v>32</v>
      </c>
      <c r="M115" s="10" t="s">
        <v>26</v>
      </c>
      <c r="N115" s="10">
        <v>223.68</v>
      </c>
      <c r="O115" s="27" t="s">
        <v>35</v>
      </c>
      <c r="P115" s="12" t="s">
        <v>58</v>
      </c>
      <c r="Q115" s="55" t="str">
        <f>IF(AND(Dmart_sales_data[[#This Row],[customer_type2]]="Member",OR(Dmart_sales_data[[#This Row],[payment_mode]]="UPI",Dmart_sales_data[[#This Row],[payment_mode]]="Card")),"yes","No")</f>
        <v>No</v>
      </c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</row>
    <row r="116" spans="1:28" ht="14.25" customHeight="1" x14ac:dyDescent="0.3">
      <c r="A116" s="13" t="s">
        <v>158</v>
      </c>
      <c r="B116" s="14" t="s">
        <v>24</v>
      </c>
      <c r="C116" s="14" t="s">
        <v>24</v>
      </c>
      <c r="D116" s="15" t="s">
        <v>14</v>
      </c>
      <c r="E116" s="15">
        <v>668.71</v>
      </c>
      <c r="F116" s="5" t="str">
        <f>IF(Dmart_sales_data[[#This Row],[sales]]&gt;3000,"High Sales",IF(Dmart_sales_data[[#This Row],[sales]]&gt;1000,"Medium Sales","Low Sales"))</f>
        <v>Low Sales</v>
      </c>
      <c r="G116" s="15">
        <v>0.13</v>
      </c>
      <c r="H116" s="15">
        <v>4</v>
      </c>
      <c r="I116" s="16">
        <v>45045</v>
      </c>
      <c r="J116" s="16">
        <v>45047</v>
      </c>
      <c r="K116" s="15" t="s">
        <v>15</v>
      </c>
      <c r="L116" s="15" t="s">
        <v>15</v>
      </c>
      <c r="M116" s="15" t="s">
        <v>21</v>
      </c>
      <c r="N116" s="15">
        <v>153.62</v>
      </c>
      <c r="O116" s="27" t="s">
        <v>100</v>
      </c>
      <c r="P116" s="17" t="s">
        <v>65</v>
      </c>
      <c r="Q116" s="55" t="str">
        <f>IF(AND(Dmart_sales_data[[#This Row],[customer_type2]]="Member",OR(Dmart_sales_data[[#This Row],[payment_mode]]="UPI",Dmart_sales_data[[#This Row],[payment_mode]]="Card")),"yes","No")</f>
        <v>yes</v>
      </c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</row>
    <row r="117" spans="1:28" ht="14.25" customHeight="1" x14ac:dyDescent="0.3">
      <c r="A117" s="8" t="s">
        <v>159</v>
      </c>
      <c r="B117" s="9" t="s">
        <v>29</v>
      </c>
      <c r="C117" s="9" t="s">
        <v>29</v>
      </c>
      <c r="D117" s="10" t="s">
        <v>25</v>
      </c>
      <c r="E117" s="10">
        <v>4475.07</v>
      </c>
      <c r="F117" s="5" t="str">
        <f>IF(Dmart_sales_data[[#This Row],[sales]]&gt;3000,"High Sales",IF(Dmart_sales_data[[#This Row],[sales]]&gt;1000,"Medium Sales","Low Sales"))</f>
        <v>High Sales</v>
      </c>
      <c r="G117" s="10">
        <v>0.3</v>
      </c>
      <c r="H117" s="10">
        <v>2</v>
      </c>
      <c r="I117" s="11">
        <v>45196</v>
      </c>
      <c r="J117" s="11">
        <v>45197</v>
      </c>
      <c r="K117" s="10" t="s">
        <v>20</v>
      </c>
      <c r="L117" s="10" t="s">
        <v>20</v>
      </c>
      <c r="M117" s="10" t="s">
        <v>21</v>
      </c>
      <c r="N117" s="10">
        <v>815.29</v>
      </c>
      <c r="O117" s="27" t="s">
        <v>79</v>
      </c>
      <c r="P117" s="12" t="s">
        <v>22</v>
      </c>
      <c r="Q117" s="55" t="str">
        <f>IF(AND(Dmart_sales_data[[#This Row],[customer_type2]]="Member",OR(Dmart_sales_data[[#This Row],[payment_mode]]="UPI",Dmart_sales_data[[#This Row],[payment_mode]]="Card")),"yes","No")</f>
        <v>No</v>
      </c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</row>
    <row r="118" spans="1:28" ht="14.25" customHeight="1" x14ac:dyDescent="0.3">
      <c r="A118" s="13" t="s">
        <v>160</v>
      </c>
      <c r="B118" s="14" t="s">
        <v>13</v>
      </c>
      <c r="C118" s="4" t="s">
        <v>13</v>
      </c>
      <c r="D118" s="15" t="s">
        <v>37</v>
      </c>
      <c r="E118" s="15">
        <v>3234.26</v>
      </c>
      <c r="F118" s="5" t="str">
        <f>IF(Dmart_sales_data[[#This Row],[sales]]&gt;3000,"High Sales",IF(Dmart_sales_data[[#This Row],[sales]]&gt;1000,"Medium Sales","Low Sales"))</f>
        <v>High Sales</v>
      </c>
      <c r="G118" s="15">
        <v>0.33</v>
      </c>
      <c r="H118" s="15">
        <v>9</v>
      </c>
      <c r="I118" s="16">
        <v>45342</v>
      </c>
      <c r="J118" s="16">
        <v>45349</v>
      </c>
      <c r="K118" s="15" t="s">
        <v>15</v>
      </c>
      <c r="L118" s="15" t="s">
        <v>15</v>
      </c>
      <c r="M118" s="15" t="s">
        <v>26</v>
      </c>
      <c r="N118" s="15">
        <v>817.55</v>
      </c>
      <c r="O118" s="27" t="s">
        <v>17</v>
      </c>
      <c r="P118" s="17" t="s">
        <v>95</v>
      </c>
      <c r="Q118" s="55" t="str">
        <f>IF(AND(Dmart_sales_data[[#This Row],[customer_type2]]="Member",OR(Dmart_sales_data[[#This Row],[payment_mode]]="UPI",Dmart_sales_data[[#This Row],[payment_mode]]="Card")),"yes","No")</f>
        <v>No</v>
      </c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</row>
    <row r="119" spans="1:28" ht="14.25" customHeight="1" x14ac:dyDescent="0.3">
      <c r="A119" s="8" t="s">
        <v>161</v>
      </c>
      <c r="B119" s="9" t="s">
        <v>576</v>
      </c>
      <c r="C119" s="9" t="s">
        <v>576</v>
      </c>
      <c r="D119" s="10" t="s">
        <v>34</v>
      </c>
      <c r="E119" s="10">
        <v>1293.3800000000001</v>
      </c>
      <c r="F119" s="5" t="str">
        <f>IF(Dmart_sales_data[[#This Row],[sales]]&gt;3000,"High Sales",IF(Dmart_sales_data[[#This Row],[sales]]&gt;1000,"Medium Sales","Low Sales"))</f>
        <v>Medium Sales</v>
      </c>
      <c r="G119" s="10">
        <v>0.25</v>
      </c>
      <c r="H119" s="10">
        <v>2</v>
      </c>
      <c r="I119" s="11">
        <v>44936</v>
      </c>
      <c r="J119" s="11">
        <v>44938</v>
      </c>
      <c r="K119" s="10" t="s">
        <v>20</v>
      </c>
      <c r="L119" s="10" t="s">
        <v>20</v>
      </c>
      <c r="M119" s="10" t="s">
        <v>21</v>
      </c>
      <c r="N119" s="10">
        <v>289.92</v>
      </c>
      <c r="O119" s="27" t="s">
        <v>17</v>
      </c>
      <c r="P119" s="12" t="s">
        <v>17</v>
      </c>
      <c r="Q119" s="55" t="str">
        <f>IF(AND(Dmart_sales_data[[#This Row],[customer_type2]]="Member",OR(Dmart_sales_data[[#This Row],[payment_mode]]="UPI",Dmart_sales_data[[#This Row],[payment_mode]]="Card")),"yes","No")</f>
        <v>No</v>
      </c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</row>
    <row r="120" spans="1:28" ht="14.25" customHeight="1" x14ac:dyDescent="0.3">
      <c r="A120" s="13" t="s">
        <v>162</v>
      </c>
      <c r="B120" s="14" t="s">
        <v>24</v>
      </c>
      <c r="C120" s="14" t="s">
        <v>24</v>
      </c>
      <c r="D120" s="15" t="s">
        <v>34</v>
      </c>
      <c r="E120" s="15">
        <v>1995.23</v>
      </c>
      <c r="F120" s="5" t="str">
        <f>IF(Dmart_sales_data[[#This Row],[sales]]&gt;3000,"High Sales",IF(Dmart_sales_data[[#This Row],[sales]]&gt;1000,"Medium Sales","Low Sales"))</f>
        <v>Medium Sales</v>
      </c>
      <c r="G120" s="15">
        <v>0.37</v>
      </c>
      <c r="H120" s="15">
        <v>5</v>
      </c>
      <c r="I120" s="16">
        <v>45336</v>
      </c>
      <c r="J120" s="16">
        <v>45339</v>
      </c>
      <c r="K120" s="15" t="s">
        <v>20</v>
      </c>
      <c r="L120" s="15" t="s">
        <v>20</v>
      </c>
      <c r="M120" s="15" t="s">
        <v>21</v>
      </c>
      <c r="N120" s="15">
        <v>274.36</v>
      </c>
      <c r="O120" s="27" t="s">
        <v>41</v>
      </c>
      <c r="P120" s="17" t="s">
        <v>68</v>
      </c>
      <c r="Q120" s="55" t="str">
        <f>IF(AND(Dmart_sales_data[[#This Row],[customer_type2]]="Member",OR(Dmart_sales_data[[#This Row],[payment_mode]]="UPI",Dmart_sales_data[[#This Row],[payment_mode]]="Card")),"yes","No")</f>
        <v>No</v>
      </c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</row>
    <row r="121" spans="1:28" ht="14.25" customHeight="1" x14ac:dyDescent="0.3">
      <c r="A121" s="8" t="s">
        <v>163</v>
      </c>
      <c r="B121" s="9" t="s">
        <v>29</v>
      </c>
      <c r="C121" s="9" t="s">
        <v>29</v>
      </c>
      <c r="D121" s="10" t="s">
        <v>19</v>
      </c>
      <c r="E121" s="10">
        <v>4869.0600000000004</v>
      </c>
      <c r="F121" s="5" t="str">
        <f>IF(Dmart_sales_data[[#This Row],[sales]]&gt;3000,"High Sales",IF(Dmart_sales_data[[#This Row],[sales]]&gt;1000,"Medium Sales","Low Sales"))</f>
        <v>High Sales</v>
      </c>
      <c r="G121" s="10">
        <v>0.21</v>
      </c>
      <c r="H121" s="10">
        <v>6</v>
      </c>
      <c r="I121" s="11">
        <v>45149</v>
      </c>
      <c r="J121" s="11">
        <v>45155</v>
      </c>
      <c r="K121" s="10" t="s">
        <v>20</v>
      </c>
      <c r="L121" s="10" t="s">
        <v>20</v>
      </c>
      <c r="M121" s="10" t="s">
        <v>21</v>
      </c>
      <c r="N121" s="10">
        <v>1022.41</v>
      </c>
      <c r="O121" s="27" t="s">
        <v>79</v>
      </c>
      <c r="P121" s="12" t="s">
        <v>79</v>
      </c>
      <c r="Q121" s="55" t="str">
        <f>IF(AND(Dmart_sales_data[[#This Row],[customer_type2]]="Member",OR(Dmart_sales_data[[#This Row],[payment_mode]]="UPI",Dmart_sales_data[[#This Row],[payment_mode]]="Card")),"yes","No")</f>
        <v>No</v>
      </c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</row>
    <row r="122" spans="1:28" ht="14.25" customHeight="1" x14ac:dyDescent="0.3">
      <c r="A122" s="13" t="s">
        <v>164</v>
      </c>
      <c r="B122" s="14" t="s">
        <v>13</v>
      </c>
      <c r="C122" s="4" t="s">
        <v>13</v>
      </c>
      <c r="D122" s="15" t="s">
        <v>14</v>
      </c>
      <c r="E122" s="15">
        <v>4324.6899999999996</v>
      </c>
      <c r="F122" s="5" t="str">
        <f>IF(Dmart_sales_data[[#This Row],[sales]]&gt;3000,"High Sales",IF(Dmart_sales_data[[#This Row],[sales]]&gt;1000,"Medium Sales","Low Sales"))</f>
        <v>High Sales</v>
      </c>
      <c r="G122" s="15">
        <v>0</v>
      </c>
      <c r="H122" s="15">
        <v>3</v>
      </c>
      <c r="I122" s="16">
        <v>45503</v>
      </c>
      <c r="J122" s="16">
        <v>45507</v>
      </c>
      <c r="K122" s="15" t="s">
        <v>20</v>
      </c>
      <c r="L122" s="15" t="s">
        <v>20</v>
      </c>
      <c r="M122" s="15" t="s">
        <v>16</v>
      </c>
      <c r="N122" s="15">
        <v>558.65</v>
      </c>
      <c r="O122" s="27" t="s">
        <v>17</v>
      </c>
      <c r="P122" s="17" t="s">
        <v>52</v>
      </c>
      <c r="Q122" s="55" t="str">
        <f>IF(AND(Dmart_sales_data[[#This Row],[customer_type2]]="Member",OR(Dmart_sales_data[[#This Row],[payment_mode]]="UPI",Dmart_sales_data[[#This Row],[payment_mode]]="Card")),"yes","No")</f>
        <v>No</v>
      </c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</row>
    <row r="123" spans="1:28" ht="14.25" customHeight="1" x14ac:dyDescent="0.3">
      <c r="A123" s="8" t="s">
        <v>165</v>
      </c>
      <c r="B123" s="9" t="s">
        <v>576</v>
      </c>
      <c r="C123" s="9" t="s">
        <v>576</v>
      </c>
      <c r="D123" s="10" t="s">
        <v>34</v>
      </c>
      <c r="E123" s="10">
        <v>176.35</v>
      </c>
      <c r="F123" s="5" t="str">
        <f>IF(Dmart_sales_data[[#This Row],[sales]]&gt;3000,"High Sales",IF(Dmart_sales_data[[#This Row],[sales]]&gt;1000,"Medium Sales","Low Sales"))</f>
        <v>Low Sales</v>
      </c>
      <c r="G123" s="10">
        <v>0.13</v>
      </c>
      <c r="H123" s="10">
        <v>3</v>
      </c>
      <c r="I123" s="11">
        <v>45104</v>
      </c>
      <c r="J123" s="11">
        <v>45106</v>
      </c>
      <c r="K123" s="10" t="s">
        <v>32</v>
      </c>
      <c r="L123" s="10" t="s">
        <v>32</v>
      </c>
      <c r="M123" s="10" t="s">
        <v>26</v>
      </c>
      <c r="N123" s="10">
        <v>40.409999999999997</v>
      </c>
      <c r="O123" s="27" t="s">
        <v>79</v>
      </c>
      <c r="P123" s="12" t="s">
        <v>79</v>
      </c>
      <c r="Q123" s="55" t="str">
        <f>IF(AND(Dmart_sales_data[[#This Row],[customer_type2]]="Member",OR(Dmart_sales_data[[#This Row],[payment_mode]]="UPI",Dmart_sales_data[[#This Row],[payment_mode]]="Card")),"yes","No")</f>
        <v>No</v>
      </c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</row>
    <row r="124" spans="1:28" ht="14.25" customHeight="1" x14ac:dyDescent="0.3">
      <c r="A124" s="13" t="s">
        <v>166</v>
      </c>
      <c r="B124" s="14" t="s">
        <v>24</v>
      </c>
      <c r="C124" s="14" t="s">
        <v>24</v>
      </c>
      <c r="D124" s="15" t="s">
        <v>37</v>
      </c>
      <c r="E124" s="15">
        <v>4901.0200000000004</v>
      </c>
      <c r="F124" s="5" t="str">
        <f>IF(Dmart_sales_data[[#This Row],[sales]]&gt;3000,"High Sales",IF(Dmart_sales_data[[#This Row],[sales]]&gt;1000,"Medium Sales","Low Sales"))</f>
        <v>High Sales</v>
      </c>
      <c r="G124" s="15">
        <v>0.47</v>
      </c>
      <c r="H124" s="15">
        <v>6</v>
      </c>
      <c r="I124" s="16">
        <v>45103</v>
      </c>
      <c r="J124" s="16">
        <v>45106</v>
      </c>
      <c r="K124" s="15" t="s">
        <v>15</v>
      </c>
      <c r="L124" s="15" t="s">
        <v>15</v>
      </c>
      <c r="M124" s="15" t="s">
        <v>26</v>
      </c>
      <c r="N124" s="15">
        <v>1045.7</v>
      </c>
      <c r="O124" s="27" t="s">
        <v>27</v>
      </c>
      <c r="P124" s="17" t="s">
        <v>27</v>
      </c>
      <c r="Q124" s="55" t="str">
        <f>IF(AND(Dmart_sales_data[[#This Row],[customer_type2]]="Member",OR(Dmart_sales_data[[#This Row],[payment_mode]]="UPI",Dmart_sales_data[[#This Row],[payment_mode]]="Card")),"yes","No")</f>
        <v>No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</row>
    <row r="125" spans="1:28" ht="14.25" customHeight="1" x14ac:dyDescent="0.3">
      <c r="A125" s="8" t="s">
        <v>167</v>
      </c>
      <c r="B125" s="9" t="s">
        <v>29</v>
      </c>
      <c r="C125" s="9" t="s">
        <v>29</v>
      </c>
      <c r="D125" s="10" t="s">
        <v>37</v>
      </c>
      <c r="E125" s="10">
        <v>1905.79</v>
      </c>
      <c r="F125" s="5" t="str">
        <f>IF(Dmart_sales_data[[#This Row],[sales]]&gt;3000,"High Sales",IF(Dmart_sales_data[[#This Row],[sales]]&gt;1000,"Medium Sales","Low Sales"))</f>
        <v>Medium Sales</v>
      </c>
      <c r="G125" s="10">
        <v>0.38</v>
      </c>
      <c r="H125" s="10">
        <v>5</v>
      </c>
      <c r="I125" s="11">
        <v>45470</v>
      </c>
      <c r="J125" s="11">
        <v>45477</v>
      </c>
      <c r="K125" s="10" t="s">
        <v>15</v>
      </c>
      <c r="L125" s="10" t="s">
        <v>15</v>
      </c>
      <c r="M125" s="10" t="s">
        <v>26</v>
      </c>
      <c r="N125" s="10">
        <v>179.78</v>
      </c>
      <c r="O125" s="27" t="s">
        <v>35</v>
      </c>
      <c r="P125" s="12" t="s">
        <v>35</v>
      </c>
      <c r="Q125" s="55" t="str">
        <f>IF(AND(Dmart_sales_data[[#This Row],[customer_type2]]="Member",OR(Dmart_sales_data[[#This Row],[payment_mode]]="UPI",Dmart_sales_data[[#This Row],[payment_mode]]="Card")),"yes","No")</f>
        <v>No</v>
      </c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</row>
    <row r="126" spans="1:28" ht="14.25" customHeight="1" x14ac:dyDescent="0.3">
      <c r="A126" s="13" t="s">
        <v>168</v>
      </c>
      <c r="B126" s="14" t="s">
        <v>13</v>
      </c>
      <c r="C126" s="4" t="s">
        <v>13</v>
      </c>
      <c r="D126" s="15" t="s">
        <v>34</v>
      </c>
      <c r="E126" s="15">
        <v>3507.55</v>
      </c>
      <c r="F126" s="5" t="str">
        <f>IF(Dmart_sales_data[[#This Row],[sales]]&gt;3000,"High Sales",IF(Dmart_sales_data[[#This Row],[sales]]&gt;1000,"Medium Sales","Low Sales"))</f>
        <v>High Sales</v>
      </c>
      <c r="G126" s="15">
        <v>0.09</v>
      </c>
      <c r="H126" s="15">
        <v>5</v>
      </c>
      <c r="I126" s="16">
        <v>45503</v>
      </c>
      <c r="J126" s="16">
        <v>45504</v>
      </c>
      <c r="K126" s="15" t="s">
        <v>32</v>
      </c>
      <c r="L126" s="15" t="s">
        <v>32</v>
      </c>
      <c r="M126" s="15" t="s">
        <v>16</v>
      </c>
      <c r="N126" s="15">
        <v>789.67</v>
      </c>
      <c r="O126" s="27" t="s">
        <v>35</v>
      </c>
      <c r="P126" s="17" t="s">
        <v>30</v>
      </c>
      <c r="Q126" s="55" t="str">
        <f>IF(AND(Dmart_sales_data[[#This Row],[customer_type2]]="Member",OR(Dmart_sales_data[[#This Row],[payment_mode]]="UPI",Dmart_sales_data[[#This Row],[payment_mode]]="Card")),"yes","No")</f>
        <v>No</v>
      </c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</row>
    <row r="127" spans="1:28" ht="14.25" customHeight="1" x14ac:dyDescent="0.3">
      <c r="A127" s="8" t="s">
        <v>169</v>
      </c>
      <c r="B127" s="9" t="s">
        <v>576</v>
      </c>
      <c r="C127" s="9" t="s">
        <v>576</v>
      </c>
      <c r="D127" s="10" t="s">
        <v>37</v>
      </c>
      <c r="E127" s="10">
        <v>3592.12</v>
      </c>
      <c r="F127" s="5" t="str">
        <f>IF(Dmart_sales_data[[#This Row],[sales]]&gt;3000,"High Sales",IF(Dmart_sales_data[[#This Row],[sales]]&gt;1000,"Medium Sales","Low Sales"))</f>
        <v>High Sales</v>
      </c>
      <c r="G127" s="10">
        <v>0.03</v>
      </c>
      <c r="H127" s="10">
        <v>5</v>
      </c>
      <c r="I127" s="11">
        <v>44952</v>
      </c>
      <c r="J127" s="11">
        <v>44956</v>
      </c>
      <c r="K127" s="10" t="s">
        <v>15</v>
      </c>
      <c r="L127" s="10" t="s">
        <v>15</v>
      </c>
      <c r="M127" s="10" t="s">
        <v>26</v>
      </c>
      <c r="N127" s="10">
        <v>296.98</v>
      </c>
      <c r="O127" s="27" t="s">
        <v>41</v>
      </c>
      <c r="P127" s="12" t="s">
        <v>68</v>
      </c>
      <c r="Q127" s="55" t="str">
        <f>IF(AND(Dmart_sales_data[[#This Row],[customer_type2]]="Member",OR(Dmart_sales_data[[#This Row],[payment_mode]]="UPI",Dmart_sales_data[[#This Row],[payment_mode]]="Card")),"yes","No")</f>
        <v>No</v>
      </c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</row>
    <row r="128" spans="1:28" ht="14.25" customHeight="1" x14ac:dyDescent="0.3">
      <c r="A128" s="13" t="s">
        <v>170</v>
      </c>
      <c r="B128" s="14" t="s">
        <v>24</v>
      </c>
      <c r="C128" s="14" t="s">
        <v>24</v>
      </c>
      <c r="D128" s="15" t="s">
        <v>37</v>
      </c>
      <c r="E128" s="15">
        <v>4567.25</v>
      </c>
      <c r="F128" s="5" t="str">
        <f>IF(Dmart_sales_data[[#This Row],[sales]]&gt;3000,"High Sales",IF(Dmart_sales_data[[#This Row],[sales]]&gt;1000,"Medium Sales","Low Sales"))</f>
        <v>High Sales</v>
      </c>
      <c r="G128" s="15">
        <v>0.18</v>
      </c>
      <c r="H128" s="15">
        <v>9</v>
      </c>
      <c r="I128" s="16">
        <v>45123</v>
      </c>
      <c r="J128" s="16">
        <v>45129</v>
      </c>
      <c r="K128" s="15" t="s">
        <v>32</v>
      </c>
      <c r="L128" s="15" t="s">
        <v>32</v>
      </c>
      <c r="M128" s="15" t="s">
        <v>26</v>
      </c>
      <c r="N128" s="15">
        <v>333.34</v>
      </c>
      <c r="O128" s="27" t="s">
        <v>79</v>
      </c>
      <c r="P128" s="17" t="s">
        <v>22</v>
      </c>
      <c r="Q128" s="55" t="str">
        <f>IF(AND(Dmart_sales_data[[#This Row],[customer_type2]]="Member",OR(Dmart_sales_data[[#This Row],[payment_mode]]="UPI",Dmart_sales_data[[#This Row],[payment_mode]]="Card")),"yes","No")</f>
        <v>No</v>
      </c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</row>
    <row r="129" spans="1:28" ht="14.25" customHeight="1" x14ac:dyDescent="0.3">
      <c r="A129" s="8" t="s">
        <v>171</v>
      </c>
      <c r="B129" s="9" t="s">
        <v>29</v>
      </c>
      <c r="C129" s="9" t="s">
        <v>29</v>
      </c>
      <c r="D129" s="10" t="s">
        <v>19</v>
      </c>
      <c r="E129" s="10">
        <v>4436.8</v>
      </c>
      <c r="F129" s="5" t="str">
        <f>IF(Dmart_sales_data[[#This Row],[sales]]&gt;3000,"High Sales",IF(Dmart_sales_data[[#This Row],[sales]]&gt;1000,"Medium Sales","Low Sales"))</f>
        <v>High Sales</v>
      </c>
      <c r="G129" s="10">
        <v>0.42</v>
      </c>
      <c r="H129" s="10">
        <v>8</v>
      </c>
      <c r="I129" s="11">
        <v>45336</v>
      </c>
      <c r="J129" s="11">
        <v>45340</v>
      </c>
      <c r="K129" s="10" t="s">
        <v>20</v>
      </c>
      <c r="L129" s="10" t="s">
        <v>20</v>
      </c>
      <c r="M129" s="10" t="s">
        <v>26</v>
      </c>
      <c r="N129" s="10">
        <v>934.84</v>
      </c>
      <c r="O129" s="27" t="s">
        <v>27</v>
      </c>
      <c r="P129" s="12" t="s">
        <v>27</v>
      </c>
      <c r="Q129" s="55" t="str">
        <f>IF(AND(Dmart_sales_data[[#This Row],[customer_type2]]="Member",OR(Dmart_sales_data[[#This Row],[payment_mode]]="UPI",Dmart_sales_data[[#This Row],[payment_mode]]="Card")),"yes","No")</f>
        <v>No</v>
      </c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</row>
    <row r="130" spans="1:28" ht="14.25" customHeight="1" x14ac:dyDescent="0.3">
      <c r="A130" s="13" t="s">
        <v>172</v>
      </c>
      <c r="B130" s="14" t="s">
        <v>13</v>
      </c>
      <c r="C130" s="4" t="s">
        <v>13</v>
      </c>
      <c r="D130" s="15" t="s">
        <v>14</v>
      </c>
      <c r="E130" s="15">
        <v>1480.47</v>
      </c>
      <c r="F130" s="5" t="str">
        <f>IF(Dmart_sales_data[[#This Row],[sales]]&gt;3000,"High Sales",IF(Dmart_sales_data[[#This Row],[sales]]&gt;1000,"Medium Sales","Low Sales"))</f>
        <v>Medium Sales</v>
      </c>
      <c r="G130" s="15">
        <v>0.05</v>
      </c>
      <c r="H130" s="15">
        <v>4</v>
      </c>
      <c r="I130" s="16">
        <v>44991</v>
      </c>
      <c r="J130" s="16">
        <v>44995</v>
      </c>
      <c r="K130" s="15" t="s">
        <v>15</v>
      </c>
      <c r="L130" s="15" t="s">
        <v>15</v>
      </c>
      <c r="M130" s="15" t="s">
        <v>21</v>
      </c>
      <c r="N130" s="15">
        <v>197.42</v>
      </c>
      <c r="O130" s="27" t="s">
        <v>27</v>
      </c>
      <c r="P130" s="17" t="s">
        <v>39</v>
      </c>
      <c r="Q130" s="55" t="str">
        <f>IF(AND(Dmart_sales_data[[#This Row],[customer_type2]]="Member",OR(Dmart_sales_data[[#This Row],[payment_mode]]="UPI",Dmart_sales_data[[#This Row],[payment_mode]]="Card")),"yes","No")</f>
        <v>yes</v>
      </c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</row>
    <row r="131" spans="1:28" ht="14.25" customHeight="1" x14ac:dyDescent="0.3">
      <c r="A131" s="8" t="s">
        <v>173</v>
      </c>
      <c r="B131" s="9" t="s">
        <v>576</v>
      </c>
      <c r="C131" s="9" t="s">
        <v>576</v>
      </c>
      <c r="D131" s="10" t="s">
        <v>19</v>
      </c>
      <c r="E131" s="10">
        <v>3253.32</v>
      </c>
      <c r="F131" s="5" t="str">
        <f>IF(Dmart_sales_data[[#This Row],[sales]]&gt;3000,"High Sales",IF(Dmart_sales_data[[#This Row],[sales]]&gt;1000,"Medium Sales","Low Sales"))</f>
        <v>High Sales</v>
      </c>
      <c r="G131" s="10">
        <v>0.27</v>
      </c>
      <c r="H131" s="10">
        <v>6</v>
      </c>
      <c r="I131" s="11">
        <v>45404</v>
      </c>
      <c r="J131" s="11">
        <v>45407</v>
      </c>
      <c r="K131" s="10" t="s">
        <v>20</v>
      </c>
      <c r="L131" s="10" t="s">
        <v>20</v>
      </c>
      <c r="M131" s="10" t="s">
        <v>16</v>
      </c>
      <c r="N131" s="10">
        <v>293.39999999999998</v>
      </c>
      <c r="O131" s="27" t="s">
        <v>17</v>
      </c>
      <c r="P131" s="12" t="s">
        <v>17</v>
      </c>
      <c r="Q131" s="55" t="str">
        <f>IF(AND(Dmart_sales_data[[#This Row],[customer_type2]]="Member",OR(Dmart_sales_data[[#This Row],[payment_mode]]="UPI",Dmart_sales_data[[#This Row],[payment_mode]]="Card")),"yes","No")</f>
        <v>No</v>
      </c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</row>
    <row r="132" spans="1:28" ht="14.25" customHeight="1" x14ac:dyDescent="0.3">
      <c r="A132" s="13" t="s">
        <v>174</v>
      </c>
      <c r="B132" s="14" t="s">
        <v>24</v>
      </c>
      <c r="C132" s="14" t="s">
        <v>24</v>
      </c>
      <c r="D132" s="15" t="s">
        <v>14</v>
      </c>
      <c r="E132" s="15">
        <v>2029.16</v>
      </c>
      <c r="F132" s="5" t="str">
        <f>IF(Dmart_sales_data[[#This Row],[sales]]&gt;3000,"High Sales",IF(Dmart_sales_data[[#This Row],[sales]]&gt;1000,"Medium Sales","Low Sales"))</f>
        <v>Medium Sales</v>
      </c>
      <c r="G132" s="15">
        <v>0.14000000000000001</v>
      </c>
      <c r="H132" s="15">
        <v>5</v>
      </c>
      <c r="I132" s="16">
        <v>45322</v>
      </c>
      <c r="J132" s="16">
        <v>45327</v>
      </c>
      <c r="K132" s="15" t="s">
        <v>15</v>
      </c>
      <c r="L132" s="15" t="s">
        <v>15</v>
      </c>
      <c r="M132" s="15" t="s">
        <v>21</v>
      </c>
      <c r="N132" s="15">
        <v>602.37</v>
      </c>
      <c r="O132" s="27" t="s">
        <v>35</v>
      </c>
      <c r="P132" s="17" t="s">
        <v>35</v>
      </c>
      <c r="Q132" s="55" t="str">
        <f>IF(AND(Dmart_sales_data[[#This Row],[customer_type2]]="Member",OR(Dmart_sales_data[[#This Row],[payment_mode]]="UPI",Dmart_sales_data[[#This Row],[payment_mode]]="Card")),"yes","No")</f>
        <v>yes</v>
      </c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</row>
    <row r="133" spans="1:28" ht="14.25" customHeight="1" x14ac:dyDescent="0.3">
      <c r="A133" s="8" t="s">
        <v>175</v>
      </c>
      <c r="B133" s="9" t="s">
        <v>29</v>
      </c>
      <c r="C133" s="9" t="s">
        <v>29</v>
      </c>
      <c r="D133" s="10" t="s">
        <v>37</v>
      </c>
      <c r="E133" s="10">
        <v>2675.16</v>
      </c>
      <c r="F133" s="5" t="str">
        <f>IF(Dmart_sales_data[[#This Row],[sales]]&gt;3000,"High Sales",IF(Dmart_sales_data[[#This Row],[sales]]&gt;1000,"Medium Sales","Low Sales"))</f>
        <v>Medium Sales</v>
      </c>
      <c r="G133" s="10">
        <v>0.36</v>
      </c>
      <c r="H133" s="10">
        <v>6</v>
      </c>
      <c r="I133" s="11">
        <v>45410</v>
      </c>
      <c r="J133" s="11">
        <v>45414</v>
      </c>
      <c r="K133" s="10" t="s">
        <v>15</v>
      </c>
      <c r="L133" s="10" t="s">
        <v>15</v>
      </c>
      <c r="M133" s="10" t="s">
        <v>26</v>
      </c>
      <c r="N133" s="10">
        <v>715.56</v>
      </c>
      <c r="O133" s="27" t="s">
        <v>41</v>
      </c>
      <c r="P133" s="12" t="s">
        <v>68</v>
      </c>
      <c r="Q133" s="55" t="str">
        <f>IF(AND(Dmart_sales_data[[#This Row],[customer_type2]]="Member",OR(Dmart_sales_data[[#This Row],[payment_mode]]="UPI",Dmart_sales_data[[#This Row],[payment_mode]]="Card")),"yes","No")</f>
        <v>No</v>
      </c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</row>
    <row r="134" spans="1:28" ht="14.25" customHeight="1" x14ac:dyDescent="0.3">
      <c r="A134" s="13" t="s">
        <v>176</v>
      </c>
      <c r="B134" s="14" t="s">
        <v>13</v>
      </c>
      <c r="C134" s="4" t="s">
        <v>13</v>
      </c>
      <c r="D134" s="15" t="s">
        <v>14</v>
      </c>
      <c r="E134" s="15">
        <v>2817.92</v>
      </c>
      <c r="F134" s="5" t="str">
        <f>IF(Dmart_sales_data[[#This Row],[sales]]&gt;3000,"High Sales",IF(Dmart_sales_data[[#This Row],[sales]]&gt;1000,"Medium Sales","Low Sales"))</f>
        <v>Medium Sales</v>
      </c>
      <c r="G134" s="15">
        <v>0</v>
      </c>
      <c r="H134" s="15">
        <v>8</v>
      </c>
      <c r="I134" s="16">
        <v>45590</v>
      </c>
      <c r="J134" s="16">
        <v>45593</v>
      </c>
      <c r="K134" s="15" t="s">
        <v>15</v>
      </c>
      <c r="L134" s="15" t="s">
        <v>15</v>
      </c>
      <c r="M134" s="15" t="s">
        <v>21</v>
      </c>
      <c r="N134" s="15">
        <v>265.5</v>
      </c>
      <c r="O134" s="27" t="s">
        <v>17</v>
      </c>
      <c r="P134" s="17" t="s">
        <v>52</v>
      </c>
      <c r="Q134" s="55" t="str">
        <f>IF(AND(Dmart_sales_data[[#This Row],[customer_type2]]="Member",OR(Dmart_sales_data[[#This Row],[payment_mode]]="UPI",Dmart_sales_data[[#This Row],[payment_mode]]="Card")),"yes","No")</f>
        <v>yes</v>
      </c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</row>
    <row r="135" spans="1:28" ht="14.25" customHeight="1" x14ac:dyDescent="0.3">
      <c r="A135" s="8" t="s">
        <v>177</v>
      </c>
      <c r="B135" s="9" t="s">
        <v>576</v>
      </c>
      <c r="C135" s="9" t="s">
        <v>576</v>
      </c>
      <c r="D135" s="10" t="s">
        <v>37</v>
      </c>
      <c r="E135" s="10">
        <v>2042.08</v>
      </c>
      <c r="F135" s="5" t="str">
        <f>IF(Dmart_sales_data[[#This Row],[sales]]&gt;3000,"High Sales",IF(Dmart_sales_data[[#This Row],[sales]]&gt;1000,"Medium Sales","Low Sales"))</f>
        <v>Medium Sales</v>
      </c>
      <c r="G135" s="10">
        <v>0.14000000000000001</v>
      </c>
      <c r="H135" s="10">
        <v>6</v>
      </c>
      <c r="I135" s="11">
        <v>45109</v>
      </c>
      <c r="J135" s="11">
        <v>45115</v>
      </c>
      <c r="K135" s="10" t="s">
        <v>20</v>
      </c>
      <c r="L135" s="10" t="s">
        <v>20</v>
      </c>
      <c r="M135" s="10" t="s">
        <v>26</v>
      </c>
      <c r="N135" s="10">
        <v>583.83000000000004</v>
      </c>
      <c r="O135" s="27" t="s">
        <v>17</v>
      </c>
      <c r="P135" s="12" t="s">
        <v>95</v>
      </c>
      <c r="Q135" s="55" t="str">
        <f>IF(AND(Dmart_sales_data[[#This Row],[customer_type2]]="Member",OR(Dmart_sales_data[[#This Row],[payment_mode]]="UPI",Dmart_sales_data[[#This Row],[payment_mode]]="Card")),"yes","No")</f>
        <v>No</v>
      </c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</row>
    <row r="136" spans="1:28" ht="14.25" customHeight="1" x14ac:dyDescent="0.3">
      <c r="A136" s="13" t="s">
        <v>178</v>
      </c>
      <c r="B136" s="14" t="s">
        <v>24</v>
      </c>
      <c r="C136" s="14" t="s">
        <v>24</v>
      </c>
      <c r="D136" s="15" t="s">
        <v>37</v>
      </c>
      <c r="E136" s="15">
        <v>2373.08</v>
      </c>
      <c r="F136" s="5" t="str">
        <f>IF(Dmart_sales_data[[#This Row],[sales]]&gt;3000,"High Sales",IF(Dmart_sales_data[[#This Row],[sales]]&gt;1000,"Medium Sales","Low Sales"))</f>
        <v>Medium Sales</v>
      </c>
      <c r="G136" s="15">
        <v>0.34</v>
      </c>
      <c r="H136" s="15">
        <v>6</v>
      </c>
      <c r="I136" s="16">
        <v>45527</v>
      </c>
      <c r="J136" s="16">
        <v>45534</v>
      </c>
      <c r="K136" s="15" t="s">
        <v>32</v>
      </c>
      <c r="L136" s="15" t="s">
        <v>32</v>
      </c>
      <c r="M136" s="15" t="s">
        <v>21</v>
      </c>
      <c r="N136" s="15">
        <v>478.2</v>
      </c>
      <c r="O136" s="27" t="s">
        <v>41</v>
      </c>
      <c r="P136" s="17" t="s">
        <v>44</v>
      </c>
      <c r="Q136" s="55" t="str">
        <f>IF(AND(Dmart_sales_data[[#This Row],[customer_type2]]="Member",OR(Dmart_sales_data[[#This Row],[payment_mode]]="UPI",Dmart_sales_data[[#This Row],[payment_mode]]="Card")),"yes","No")</f>
        <v>No</v>
      </c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</row>
    <row r="137" spans="1:28" ht="14.25" customHeight="1" x14ac:dyDescent="0.3">
      <c r="A137" s="8" t="s">
        <v>179</v>
      </c>
      <c r="B137" s="9" t="s">
        <v>29</v>
      </c>
      <c r="C137" s="9" t="s">
        <v>29</v>
      </c>
      <c r="D137" s="10" t="s">
        <v>19</v>
      </c>
      <c r="E137" s="10">
        <v>1120.8800000000001</v>
      </c>
      <c r="F137" s="5" t="str">
        <f>IF(Dmart_sales_data[[#This Row],[sales]]&gt;3000,"High Sales",IF(Dmart_sales_data[[#This Row],[sales]]&gt;1000,"Medium Sales","Low Sales"))</f>
        <v>Medium Sales</v>
      </c>
      <c r="G137" s="10">
        <v>0.27</v>
      </c>
      <c r="H137" s="10">
        <v>2</v>
      </c>
      <c r="I137" s="11">
        <v>45190</v>
      </c>
      <c r="J137" s="11">
        <v>45195</v>
      </c>
      <c r="K137" s="10" t="s">
        <v>20</v>
      </c>
      <c r="L137" s="10" t="s">
        <v>20</v>
      </c>
      <c r="M137" s="10" t="s">
        <v>21</v>
      </c>
      <c r="N137" s="10">
        <v>201.73</v>
      </c>
      <c r="O137" s="27" t="s">
        <v>41</v>
      </c>
      <c r="P137" s="12" t="s">
        <v>44</v>
      </c>
      <c r="Q137" s="55" t="str">
        <f>IF(AND(Dmart_sales_data[[#This Row],[customer_type2]]="Member",OR(Dmart_sales_data[[#This Row],[payment_mode]]="UPI",Dmart_sales_data[[#This Row],[payment_mode]]="Card")),"yes","No")</f>
        <v>No</v>
      </c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</row>
    <row r="138" spans="1:28" ht="14.25" customHeight="1" x14ac:dyDescent="0.3">
      <c r="A138" s="13" t="s">
        <v>180</v>
      </c>
      <c r="B138" s="14" t="s">
        <v>13</v>
      </c>
      <c r="C138" s="4" t="s">
        <v>13</v>
      </c>
      <c r="D138" s="15" t="s">
        <v>19</v>
      </c>
      <c r="E138" s="15">
        <v>3077.47</v>
      </c>
      <c r="F138" s="5" t="str">
        <f>IF(Dmart_sales_data[[#This Row],[sales]]&gt;3000,"High Sales",IF(Dmart_sales_data[[#This Row],[sales]]&gt;1000,"Medium Sales","Low Sales"))</f>
        <v>High Sales</v>
      </c>
      <c r="G138" s="15">
        <v>0.39</v>
      </c>
      <c r="H138" s="15">
        <v>7</v>
      </c>
      <c r="I138" s="16">
        <v>45627</v>
      </c>
      <c r="J138" s="16">
        <v>45634</v>
      </c>
      <c r="K138" s="15" t="s">
        <v>32</v>
      </c>
      <c r="L138" s="15" t="s">
        <v>32</v>
      </c>
      <c r="M138" s="15" t="s">
        <v>16</v>
      </c>
      <c r="N138" s="15">
        <v>428.41</v>
      </c>
      <c r="O138" s="27" t="s">
        <v>27</v>
      </c>
      <c r="P138" s="17" t="s">
        <v>39</v>
      </c>
      <c r="Q138" s="55" t="str">
        <f>IF(AND(Dmart_sales_data[[#This Row],[customer_type2]]="Member",OR(Dmart_sales_data[[#This Row],[payment_mode]]="UPI",Dmart_sales_data[[#This Row],[payment_mode]]="Card")),"yes","No")</f>
        <v>No</v>
      </c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</row>
    <row r="139" spans="1:28" ht="14.25" customHeight="1" x14ac:dyDescent="0.3">
      <c r="A139" s="8" t="s">
        <v>181</v>
      </c>
      <c r="B139" s="9" t="s">
        <v>576</v>
      </c>
      <c r="C139" s="9" t="s">
        <v>576</v>
      </c>
      <c r="D139" s="10" t="s">
        <v>25</v>
      </c>
      <c r="E139" s="10">
        <v>3818.9</v>
      </c>
      <c r="F139" s="5" t="str">
        <f>IF(Dmart_sales_data[[#This Row],[sales]]&gt;3000,"High Sales",IF(Dmart_sales_data[[#This Row],[sales]]&gt;1000,"Medium Sales","Low Sales"))</f>
        <v>High Sales</v>
      </c>
      <c r="G139" s="10">
        <v>0.08</v>
      </c>
      <c r="H139" s="10">
        <v>3</v>
      </c>
      <c r="I139" s="11">
        <v>44953</v>
      </c>
      <c r="J139" s="11">
        <v>44956</v>
      </c>
      <c r="K139" s="10" t="s">
        <v>15</v>
      </c>
      <c r="L139" s="10" t="s">
        <v>15</v>
      </c>
      <c r="M139" s="10" t="s">
        <v>26</v>
      </c>
      <c r="N139" s="10">
        <v>497.78</v>
      </c>
      <c r="O139" s="27" t="s">
        <v>27</v>
      </c>
      <c r="P139" s="12" t="s">
        <v>39</v>
      </c>
      <c r="Q139" s="55" t="str">
        <f>IF(AND(Dmart_sales_data[[#This Row],[customer_type2]]="Member",OR(Dmart_sales_data[[#This Row],[payment_mode]]="UPI",Dmart_sales_data[[#This Row],[payment_mode]]="Card")),"yes","No")</f>
        <v>No</v>
      </c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</row>
    <row r="140" spans="1:28" ht="14.25" customHeight="1" x14ac:dyDescent="0.3">
      <c r="A140" s="13" t="s">
        <v>182</v>
      </c>
      <c r="B140" s="14" t="s">
        <v>24</v>
      </c>
      <c r="C140" s="14" t="s">
        <v>24</v>
      </c>
      <c r="D140" s="15" t="s">
        <v>34</v>
      </c>
      <c r="E140" s="15">
        <v>2205.73</v>
      </c>
      <c r="F140" s="5" t="str">
        <f>IF(Dmart_sales_data[[#This Row],[sales]]&gt;3000,"High Sales",IF(Dmart_sales_data[[#This Row],[sales]]&gt;1000,"Medium Sales","Low Sales"))</f>
        <v>Medium Sales</v>
      </c>
      <c r="G140" s="15">
        <v>0.27</v>
      </c>
      <c r="H140" s="15">
        <v>7</v>
      </c>
      <c r="I140" s="16">
        <v>45177</v>
      </c>
      <c r="J140" s="16">
        <v>45180</v>
      </c>
      <c r="K140" s="15" t="s">
        <v>15</v>
      </c>
      <c r="L140" s="15" t="s">
        <v>15</v>
      </c>
      <c r="M140" s="15" t="s">
        <v>16</v>
      </c>
      <c r="N140" s="15">
        <v>167.08</v>
      </c>
      <c r="O140" s="27" t="s">
        <v>27</v>
      </c>
      <c r="P140" s="17" t="s">
        <v>39</v>
      </c>
      <c r="Q140" s="55" t="str">
        <f>IF(AND(Dmart_sales_data[[#This Row],[customer_type2]]="Member",OR(Dmart_sales_data[[#This Row],[payment_mode]]="UPI",Dmart_sales_data[[#This Row],[payment_mode]]="Card")),"yes","No")</f>
        <v>yes</v>
      </c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</row>
    <row r="141" spans="1:28" ht="14.25" customHeight="1" x14ac:dyDescent="0.3">
      <c r="A141" s="8" t="s">
        <v>183</v>
      </c>
      <c r="B141" s="9" t="s">
        <v>29</v>
      </c>
      <c r="C141" s="9" t="s">
        <v>29</v>
      </c>
      <c r="D141" s="10" t="s">
        <v>25</v>
      </c>
      <c r="E141" s="10">
        <v>4890.63</v>
      </c>
      <c r="F141" s="5" t="str">
        <f>IF(Dmart_sales_data[[#This Row],[sales]]&gt;3000,"High Sales",IF(Dmart_sales_data[[#This Row],[sales]]&gt;1000,"Medium Sales","Low Sales"))</f>
        <v>High Sales</v>
      </c>
      <c r="G141" s="10">
        <v>0.1</v>
      </c>
      <c r="H141" s="10">
        <v>5</v>
      </c>
      <c r="I141" s="11">
        <v>45434</v>
      </c>
      <c r="J141" s="11">
        <v>45437</v>
      </c>
      <c r="K141" s="10" t="s">
        <v>15</v>
      </c>
      <c r="L141" s="10" t="s">
        <v>15</v>
      </c>
      <c r="M141" s="10" t="s">
        <v>26</v>
      </c>
      <c r="N141" s="10">
        <v>466.35</v>
      </c>
      <c r="O141" s="27" t="s">
        <v>17</v>
      </c>
      <c r="P141" s="12" t="s">
        <v>52</v>
      </c>
      <c r="Q141" s="55" t="str">
        <f>IF(AND(Dmart_sales_data[[#This Row],[customer_type2]]="Member",OR(Dmart_sales_data[[#This Row],[payment_mode]]="UPI",Dmart_sales_data[[#This Row],[payment_mode]]="Card")),"yes","No")</f>
        <v>No</v>
      </c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</row>
    <row r="142" spans="1:28" ht="14.25" customHeight="1" x14ac:dyDescent="0.3">
      <c r="A142" s="13" t="s">
        <v>184</v>
      </c>
      <c r="B142" s="14" t="s">
        <v>13</v>
      </c>
      <c r="C142" s="4" t="s">
        <v>13</v>
      </c>
      <c r="D142" s="15" t="s">
        <v>25</v>
      </c>
      <c r="E142" s="15">
        <v>380.41</v>
      </c>
      <c r="F142" s="5" t="str">
        <f>IF(Dmart_sales_data[[#This Row],[sales]]&gt;3000,"High Sales",IF(Dmart_sales_data[[#This Row],[sales]]&gt;1000,"Medium Sales","Low Sales"))</f>
        <v>Low Sales</v>
      </c>
      <c r="G142" s="15">
        <v>0.32</v>
      </c>
      <c r="H142" s="15">
        <v>4</v>
      </c>
      <c r="I142" s="16">
        <v>45629</v>
      </c>
      <c r="J142" s="16">
        <v>45633</v>
      </c>
      <c r="K142" s="15" t="s">
        <v>15</v>
      </c>
      <c r="L142" s="15" t="s">
        <v>15</v>
      </c>
      <c r="M142" s="15" t="s">
        <v>26</v>
      </c>
      <c r="N142" s="15">
        <v>44.61</v>
      </c>
      <c r="O142" s="27" t="s">
        <v>100</v>
      </c>
      <c r="P142" s="17" t="s">
        <v>65</v>
      </c>
      <c r="Q142" s="55" t="str">
        <f>IF(AND(Dmart_sales_data[[#This Row],[customer_type2]]="Member",OR(Dmart_sales_data[[#This Row],[payment_mode]]="UPI",Dmart_sales_data[[#This Row],[payment_mode]]="Card")),"yes","No")</f>
        <v>No</v>
      </c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</row>
    <row r="143" spans="1:28" ht="14.25" customHeight="1" x14ac:dyDescent="0.3">
      <c r="A143" s="8" t="s">
        <v>185</v>
      </c>
      <c r="B143" s="9" t="s">
        <v>576</v>
      </c>
      <c r="C143" s="9" t="s">
        <v>576</v>
      </c>
      <c r="D143" s="10" t="s">
        <v>14</v>
      </c>
      <c r="E143" s="10">
        <v>2986.89</v>
      </c>
      <c r="F143" s="5" t="str">
        <f>IF(Dmart_sales_data[[#This Row],[sales]]&gt;3000,"High Sales",IF(Dmart_sales_data[[#This Row],[sales]]&gt;1000,"Medium Sales","Low Sales"))</f>
        <v>Medium Sales</v>
      </c>
      <c r="G143" s="10">
        <v>7.0000000000000007E-2</v>
      </c>
      <c r="H143" s="10">
        <v>1</v>
      </c>
      <c r="I143" s="11">
        <v>45054</v>
      </c>
      <c r="J143" s="11">
        <v>45055</v>
      </c>
      <c r="K143" s="10" t="s">
        <v>20</v>
      </c>
      <c r="L143" s="10" t="s">
        <v>20</v>
      </c>
      <c r="M143" s="10" t="s">
        <v>26</v>
      </c>
      <c r="N143" s="10">
        <v>699.11</v>
      </c>
      <c r="O143" s="27" t="s">
        <v>41</v>
      </c>
      <c r="P143" s="12" t="s">
        <v>68</v>
      </c>
      <c r="Q143" s="55" t="str">
        <f>IF(AND(Dmart_sales_data[[#This Row],[customer_type2]]="Member",OR(Dmart_sales_data[[#This Row],[payment_mode]]="UPI",Dmart_sales_data[[#This Row],[payment_mode]]="Card")),"yes","No")</f>
        <v>No</v>
      </c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</row>
    <row r="144" spans="1:28" ht="14.25" customHeight="1" x14ac:dyDescent="0.3">
      <c r="A144" s="13" t="s">
        <v>186</v>
      </c>
      <c r="B144" s="14" t="s">
        <v>24</v>
      </c>
      <c r="C144" s="14" t="s">
        <v>24</v>
      </c>
      <c r="D144" s="15" t="s">
        <v>37</v>
      </c>
      <c r="E144" s="15">
        <v>2959.64</v>
      </c>
      <c r="F144" s="5" t="str">
        <f>IF(Dmart_sales_data[[#This Row],[sales]]&gt;3000,"High Sales",IF(Dmart_sales_data[[#This Row],[sales]]&gt;1000,"Medium Sales","Low Sales"))</f>
        <v>Medium Sales</v>
      </c>
      <c r="G144" s="15">
        <v>7.0000000000000007E-2</v>
      </c>
      <c r="H144" s="15">
        <v>8</v>
      </c>
      <c r="I144" s="16">
        <v>45342</v>
      </c>
      <c r="J144" s="16">
        <v>45348</v>
      </c>
      <c r="K144" s="15" t="s">
        <v>32</v>
      </c>
      <c r="L144" s="15" t="s">
        <v>32</v>
      </c>
      <c r="M144" s="15" t="s">
        <v>21</v>
      </c>
      <c r="N144" s="15">
        <v>858.27</v>
      </c>
      <c r="O144" s="27" t="s">
        <v>100</v>
      </c>
      <c r="P144" s="17" t="s">
        <v>100</v>
      </c>
      <c r="Q144" s="55" t="str">
        <f>IF(AND(Dmart_sales_data[[#This Row],[customer_type2]]="Member",OR(Dmart_sales_data[[#This Row],[payment_mode]]="UPI",Dmart_sales_data[[#This Row],[payment_mode]]="Card")),"yes","No")</f>
        <v>No</v>
      </c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</row>
    <row r="145" spans="1:28" ht="14.25" customHeight="1" x14ac:dyDescent="0.3">
      <c r="A145" s="8" t="s">
        <v>187</v>
      </c>
      <c r="B145" s="9" t="s">
        <v>29</v>
      </c>
      <c r="C145" s="9" t="s">
        <v>29</v>
      </c>
      <c r="D145" s="10" t="s">
        <v>37</v>
      </c>
      <c r="E145" s="10">
        <v>277.85000000000002</v>
      </c>
      <c r="F145" s="5" t="str">
        <f>IF(Dmart_sales_data[[#This Row],[sales]]&gt;3000,"High Sales",IF(Dmart_sales_data[[#This Row],[sales]]&gt;1000,"Medium Sales","Low Sales"))</f>
        <v>Low Sales</v>
      </c>
      <c r="G145" s="10">
        <v>0.16</v>
      </c>
      <c r="H145" s="10">
        <v>2</v>
      </c>
      <c r="I145" s="11">
        <v>45345</v>
      </c>
      <c r="J145" s="11">
        <v>45349</v>
      </c>
      <c r="K145" s="10" t="s">
        <v>32</v>
      </c>
      <c r="L145" s="10" t="s">
        <v>32</v>
      </c>
      <c r="M145" s="10" t="s">
        <v>16</v>
      </c>
      <c r="N145" s="10">
        <v>46.23</v>
      </c>
      <c r="O145" s="27" t="s">
        <v>27</v>
      </c>
      <c r="P145" s="12" t="s">
        <v>27</v>
      </c>
      <c r="Q145" s="55" t="str">
        <f>IF(AND(Dmart_sales_data[[#This Row],[customer_type2]]="Member",OR(Dmart_sales_data[[#This Row],[payment_mode]]="UPI",Dmart_sales_data[[#This Row],[payment_mode]]="Card")),"yes","No")</f>
        <v>No</v>
      </c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</row>
    <row r="146" spans="1:28" ht="14.25" customHeight="1" x14ac:dyDescent="0.3">
      <c r="A146" s="13" t="s">
        <v>188</v>
      </c>
      <c r="B146" s="14" t="s">
        <v>13</v>
      </c>
      <c r="C146" s="4" t="s">
        <v>13</v>
      </c>
      <c r="D146" s="15" t="s">
        <v>37</v>
      </c>
      <c r="E146" s="15">
        <v>1200.3900000000001</v>
      </c>
      <c r="F146" s="5" t="str">
        <f>IF(Dmart_sales_data[[#This Row],[sales]]&gt;3000,"High Sales",IF(Dmart_sales_data[[#This Row],[sales]]&gt;1000,"Medium Sales","Low Sales"))</f>
        <v>Medium Sales</v>
      </c>
      <c r="G146" s="15">
        <v>0.2</v>
      </c>
      <c r="H146" s="15">
        <v>8</v>
      </c>
      <c r="I146" s="16">
        <v>45582</v>
      </c>
      <c r="J146" s="16">
        <v>45588</v>
      </c>
      <c r="K146" s="15" t="s">
        <v>32</v>
      </c>
      <c r="L146" s="15" t="s">
        <v>32</v>
      </c>
      <c r="M146" s="15" t="s">
        <v>26</v>
      </c>
      <c r="N146" s="15">
        <v>171.37</v>
      </c>
      <c r="O146" s="27" t="s">
        <v>27</v>
      </c>
      <c r="P146" s="17" t="s">
        <v>39</v>
      </c>
      <c r="Q146" s="55" t="str">
        <f>IF(AND(Dmart_sales_data[[#This Row],[customer_type2]]="Member",OR(Dmart_sales_data[[#This Row],[payment_mode]]="UPI",Dmart_sales_data[[#This Row],[payment_mode]]="Card")),"yes","No")</f>
        <v>No</v>
      </c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</row>
    <row r="147" spans="1:28" ht="14.25" customHeight="1" x14ac:dyDescent="0.3">
      <c r="A147" s="8" t="s">
        <v>189</v>
      </c>
      <c r="B147" s="9" t="s">
        <v>576</v>
      </c>
      <c r="C147" s="9" t="s">
        <v>576</v>
      </c>
      <c r="D147" s="10" t="s">
        <v>34</v>
      </c>
      <c r="E147" s="10">
        <v>4537.16</v>
      </c>
      <c r="F147" s="5" t="str">
        <f>IF(Dmart_sales_data[[#This Row],[sales]]&gt;3000,"High Sales",IF(Dmart_sales_data[[#This Row],[sales]]&gt;1000,"Medium Sales","Low Sales"))</f>
        <v>High Sales</v>
      </c>
      <c r="G147" s="10">
        <v>0.25</v>
      </c>
      <c r="H147" s="10">
        <v>7</v>
      </c>
      <c r="I147" s="11">
        <v>45346</v>
      </c>
      <c r="J147" s="11">
        <v>45352</v>
      </c>
      <c r="K147" s="10" t="s">
        <v>15</v>
      </c>
      <c r="L147" s="10" t="s">
        <v>15</v>
      </c>
      <c r="M147" s="10" t="s">
        <v>26</v>
      </c>
      <c r="N147" s="10">
        <v>1201.33</v>
      </c>
      <c r="O147" s="27" t="s">
        <v>27</v>
      </c>
      <c r="P147" s="12" t="s">
        <v>27</v>
      </c>
      <c r="Q147" s="55" t="str">
        <f>IF(AND(Dmart_sales_data[[#This Row],[customer_type2]]="Member",OR(Dmart_sales_data[[#This Row],[payment_mode]]="UPI",Dmart_sales_data[[#This Row],[payment_mode]]="Card")),"yes","No")</f>
        <v>No</v>
      </c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</row>
    <row r="148" spans="1:28" ht="14.25" customHeight="1" x14ac:dyDescent="0.3">
      <c r="A148" s="13" t="s">
        <v>190</v>
      </c>
      <c r="B148" s="14" t="s">
        <v>24</v>
      </c>
      <c r="C148" s="14" t="s">
        <v>24</v>
      </c>
      <c r="D148" s="15" t="s">
        <v>14</v>
      </c>
      <c r="E148" s="15">
        <v>2768.12</v>
      </c>
      <c r="F148" s="5" t="str">
        <f>IF(Dmart_sales_data[[#This Row],[sales]]&gt;3000,"High Sales",IF(Dmart_sales_data[[#This Row],[sales]]&gt;1000,"Medium Sales","Low Sales"))</f>
        <v>Medium Sales</v>
      </c>
      <c r="G148" s="15">
        <v>0.28999999999999998</v>
      </c>
      <c r="H148" s="15">
        <v>3</v>
      </c>
      <c r="I148" s="16">
        <v>45596</v>
      </c>
      <c r="J148" s="16">
        <v>45600</v>
      </c>
      <c r="K148" s="15" t="s">
        <v>20</v>
      </c>
      <c r="L148" s="15" t="s">
        <v>20</v>
      </c>
      <c r="M148" s="15" t="s">
        <v>21</v>
      </c>
      <c r="N148" s="15">
        <v>609.51</v>
      </c>
      <c r="O148" s="27" t="s">
        <v>27</v>
      </c>
      <c r="P148" s="17" t="s">
        <v>48</v>
      </c>
      <c r="Q148" s="55" t="str">
        <f>IF(AND(Dmart_sales_data[[#This Row],[customer_type2]]="Member",OR(Dmart_sales_data[[#This Row],[payment_mode]]="UPI",Dmart_sales_data[[#This Row],[payment_mode]]="Card")),"yes","No")</f>
        <v>No</v>
      </c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</row>
    <row r="149" spans="1:28" ht="14.25" customHeight="1" x14ac:dyDescent="0.3">
      <c r="A149" s="8" t="s">
        <v>191</v>
      </c>
      <c r="B149" s="9" t="s">
        <v>29</v>
      </c>
      <c r="C149" s="9" t="s">
        <v>29</v>
      </c>
      <c r="D149" s="10" t="s">
        <v>14</v>
      </c>
      <c r="E149" s="10">
        <v>2238.29</v>
      </c>
      <c r="F149" s="5" t="str">
        <f>IF(Dmart_sales_data[[#This Row],[sales]]&gt;3000,"High Sales",IF(Dmart_sales_data[[#This Row],[sales]]&gt;1000,"Medium Sales","Low Sales"))</f>
        <v>Medium Sales</v>
      </c>
      <c r="G149" s="10">
        <v>0.23</v>
      </c>
      <c r="H149" s="10">
        <v>7</v>
      </c>
      <c r="I149" s="11">
        <v>45155</v>
      </c>
      <c r="J149" s="11">
        <v>45159</v>
      </c>
      <c r="K149" s="10" t="s">
        <v>15</v>
      </c>
      <c r="L149" s="10" t="s">
        <v>15</v>
      </c>
      <c r="M149" s="10" t="s">
        <v>26</v>
      </c>
      <c r="N149" s="10">
        <v>248.9</v>
      </c>
      <c r="O149" s="27" t="s">
        <v>17</v>
      </c>
      <c r="P149" s="12" t="s">
        <v>17</v>
      </c>
      <c r="Q149" s="55" t="str">
        <f>IF(AND(Dmart_sales_data[[#This Row],[customer_type2]]="Member",OR(Dmart_sales_data[[#This Row],[payment_mode]]="UPI",Dmart_sales_data[[#This Row],[payment_mode]]="Card")),"yes","No")</f>
        <v>No</v>
      </c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</row>
    <row r="150" spans="1:28" ht="14.25" customHeight="1" x14ac:dyDescent="0.3">
      <c r="A150" s="13" t="s">
        <v>192</v>
      </c>
      <c r="B150" s="14" t="s">
        <v>13</v>
      </c>
      <c r="C150" s="4" t="s">
        <v>13</v>
      </c>
      <c r="D150" s="15" t="s">
        <v>37</v>
      </c>
      <c r="E150" s="15">
        <v>2135.9299999999998</v>
      </c>
      <c r="F150" s="5" t="str">
        <f>IF(Dmart_sales_data[[#This Row],[sales]]&gt;3000,"High Sales",IF(Dmart_sales_data[[#This Row],[sales]]&gt;1000,"Medium Sales","Low Sales"))</f>
        <v>Medium Sales</v>
      </c>
      <c r="G150" s="15">
        <v>0.02</v>
      </c>
      <c r="H150" s="15">
        <v>1</v>
      </c>
      <c r="I150" s="16">
        <v>45470</v>
      </c>
      <c r="J150" s="16">
        <v>45474</v>
      </c>
      <c r="K150" s="15" t="s">
        <v>32</v>
      </c>
      <c r="L150" s="15" t="s">
        <v>32</v>
      </c>
      <c r="M150" s="15" t="s">
        <v>26</v>
      </c>
      <c r="N150" s="15">
        <v>394.17</v>
      </c>
      <c r="O150" s="27" t="s">
        <v>41</v>
      </c>
      <c r="P150" s="17" t="s">
        <v>44</v>
      </c>
      <c r="Q150" s="55" t="str">
        <f>IF(AND(Dmart_sales_data[[#This Row],[customer_type2]]="Member",OR(Dmart_sales_data[[#This Row],[payment_mode]]="UPI",Dmart_sales_data[[#This Row],[payment_mode]]="Card")),"yes","No")</f>
        <v>No</v>
      </c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</row>
    <row r="151" spans="1:28" ht="14.25" customHeight="1" x14ac:dyDescent="0.3">
      <c r="A151" s="8" t="s">
        <v>193</v>
      </c>
      <c r="B151" s="9" t="s">
        <v>576</v>
      </c>
      <c r="C151" s="9" t="s">
        <v>576</v>
      </c>
      <c r="D151" s="10" t="s">
        <v>25</v>
      </c>
      <c r="E151" s="10">
        <v>4451.99</v>
      </c>
      <c r="F151" s="5" t="str">
        <f>IF(Dmart_sales_data[[#This Row],[sales]]&gt;3000,"High Sales",IF(Dmart_sales_data[[#This Row],[sales]]&gt;1000,"Medium Sales","Low Sales"))</f>
        <v>High Sales</v>
      </c>
      <c r="G151" s="10">
        <v>0.17</v>
      </c>
      <c r="H151" s="10">
        <v>5</v>
      </c>
      <c r="I151" s="11">
        <v>45005</v>
      </c>
      <c r="J151" s="11">
        <v>45010</v>
      </c>
      <c r="K151" s="10" t="s">
        <v>20</v>
      </c>
      <c r="L151" s="10" t="s">
        <v>20</v>
      </c>
      <c r="M151" s="10" t="s">
        <v>21</v>
      </c>
      <c r="N151" s="10">
        <v>1205.9000000000001</v>
      </c>
      <c r="O151" s="27" t="s">
        <v>27</v>
      </c>
      <c r="P151" s="12" t="s">
        <v>27</v>
      </c>
      <c r="Q151" s="55" t="str">
        <f>IF(AND(Dmart_sales_data[[#This Row],[customer_type2]]="Member",OR(Dmart_sales_data[[#This Row],[payment_mode]]="UPI",Dmart_sales_data[[#This Row],[payment_mode]]="Card")),"yes","No")</f>
        <v>No</v>
      </c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</row>
    <row r="152" spans="1:28" ht="14.25" customHeight="1" x14ac:dyDescent="0.3">
      <c r="A152" s="13" t="s">
        <v>194</v>
      </c>
      <c r="B152" s="14" t="s">
        <v>24</v>
      </c>
      <c r="C152" s="14" t="s">
        <v>24</v>
      </c>
      <c r="D152" s="15" t="s">
        <v>34</v>
      </c>
      <c r="E152" s="15">
        <v>1898.45</v>
      </c>
      <c r="F152" s="5" t="str">
        <f>IF(Dmart_sales_data[[#This Row],[sales]]&gt;3000,"High Sales",IF(Dmart_sales_data[[#This Row],[sales]]&gt;1000,"Medium Sales","Low Sales"))</f>
        <v>Medium Sales</v>
      </c>
      <c r="G152" s="15">
        <v>0.03</v>
      </c>
      <c r="H152" s="15">
        <v>2</v>
      </c>
      <c r="I152" s="16">
        <v>44982</v>
      </c>
      <c r="J152" s="16">
        <v>44987</v>
      </c>
      <c r="K152" s="15" t="s">
        <v>20</v>
      </c>
      <c r="L152" s="15" t="s">
        <v>20</v>
      </c>
      <c r="M152" s="15" t="s">
        <v>21</v>
      </c>
      <c r="N152" s="15">
        <v>408.16</v>
      </c>
      <c r="O152" s="27" t="s">
        <v>17</v>
      </c>
      <c r="P152" s="17" t="s">
        <v>95</v>
      </c>
      <c r="Q152" s="55" t="str">
        <f>IF(AND(Dmart_sales_data[[#This Row],[customer_type2]]="Member",OR(Dmart_sales_data[[#This Row],[payment_mode]]="UPI",Dmart_sales_data[[#This Row],[payment_mode]]="Card")),"yes","No")</f>
        <v>No</v>
      </c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</row>
    <row r="153" spans="1:28" ht="14.25" customHeight="1" x14ac:dyDescent="0.3">
      <c r="A153" s="8" t="s">
        <v>195</v>
      </c>
      <c r="B153" s="9" t="s">
        <v>29</v>
      </c>
      <c r="C153" s="9" t="s">
        <v>29</v>
      </c>
      <c r="D153" s="10" t="s">
        <v>25</v>
      </c>
      <c r="E153" s="10">
        <v>4309.92</v>
      </c>
      <c r="F153" s="5" t="str">
        <f>IF(Dmart_sales_data[[#This Row],[sales]]&gt;3000,"High Sales",IF(Dmart_sales_data[[#This Row],[sales]]&gt;1000,"Medium Sales","Low Sales"))</f>
        <v>High Sales</v>
      </c>
      <c r="G153" s="10">
        <v>0.06</v>
      </c>
      <c r="H153" s="10">
        <v>2</v>
      </c>
      <c r="I153" s="11">
        <v>44980</v>
      </c>
      <c r="J153" s="11">
        <v>44983</v>
      </c>
      <c r="K153" s="10" t="s">
        <v>15</v>
      </c>
      <c r="L153" s="10" t="s">
        <v>15</v>
      </c>
      <c r="M153" s="10" t="s">
        <v>21</v>
      </c>
      <c r="N153" s="10">
        <v>617.32000000000005</v>
      </c>
      <c r="O153" s="27" t="s">
        <v>41</v>
      </c>
      <c r="P153" s="12" t="s">
        <v>68</v>
      </c>
      <c r="Q153" s="55" t="str">
        <f>IF(AND(Dmart_sales_data[[#This Row],[customer_type2]]="Member",OR(Dmart_sales_data[[#This Row],[payment_mode]]="UPI",Dmart_sales_data[[#This Row],[payment_mode]]="Card")),"yes","No")</f>
        <v>yes</v>
      </c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</row>
    <row r="154" spans="1:28" ht="14.25" customHeight="1" x14ac:dyDescent="0.3">
      <c r="A154" s="13" t="s">
        <v>196</v>
      </c>
      <c r="B154" s="14" t="s">
        <v>13</v>
      </c>
      <c r="C154" s="4" t="s">
        <v>13</v>
      </c>
      <c r="D154" s="15" t="s">
        <v>19</v>
      </c>
      <c r="E154" s="15">
        <v>1615.04</v>
      </c>
      <c r="F154" s="5" t="str">
        <f>IF(Dmart_sales_data[[#This Row],[sales]]&gt;3000,"High Sales",IF(Dmart_sales_data[[#This Row],[sales]]&gt;1000,"Medium Sales","Low Sales"))</f>
        <v>Medium Sales</v>
      </c>
      <c r="G154" s="15">
        <v>0.05</v>
      </c>
      <c r="H154" s="15">
        <v>3</v>
      </c>
      <c r="I154" s="16">
        <v>45340</v>
      </c>
      <c r="J154" s="16">
        <v>45342</v>
      </c>
      <c r="K154" s="15" t="s">
        <v>20</v>
      </c>
      <c r="L154" s="15" t="s">
        <v>20</v>
      </c>
      <c r="M154" s="15" t="s">
        <v>16</v>
      </c>
      <c r="N154" s="15">
        <v>253.65</v>
      </c>
      <c r="O154" s="27" t="s">
        <v>41</v>
      </c>
      <c r="P154" s="17" t="s">
        <v>44</v>
      </c>
      <c r="Q154" s="55" t="str">
        <f>IF(AND(Dmart_sales_data[[#This Row],[customer_type2]]="Member",OR(Dmart_sales_data[[#This Row],[payment_mode]]="UPI",Dmart_sales_data[[#This Row],[payment_mode]]="Card")),"yes","No")</f>
        <v>No</v>
      </c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</row>
    <row r="155" spans="1:28" ht="14.25" customHeight="1" x14ac:dyDescent="0.3">
      <c r="A155" s="8" t="s">
        <v>197</v>
      </c>
      <c r="B155" s="9" t="s">
        <v>576</v>
      </c>
      <c r="C155" s="9" t="s">
        <v>576</v>
      </c>
      <c r="D155" s="10" t="s">
        <v>14</v>
      </c>
      <c r="E155" s="10">
        <v>2704.37</v>
      </c>
      <c r="F155" s="5" t="str">
        <f>IF(Dmart_sales_data[[#This Row],[sales]]&gt;3000,"High Sales",IF(Dmart_sales_data[[#This Row],[sales]]&gt;1000,"Medium Sales","Low Sales"))</f>
        <v>Medium Sales</v>
      </c>
      <c r="G155" s="10">
        <v>0.08</v>
      </c>
      <c r="H155" s="10">
        <v>7</v>
      </c>
      <c r="I155" s="11">
        <v>45399</v>
      </c>
      <c r="J155" s="11">
        <v>45405</v>
      </c>
      <c r="K155" s="10" t="s">
        <v>20</v>
      </c>
      <c r="L155" s="10" t="s">
        <v>20</v>
      </c>
      <c r="M155" s="10" t="s">
        <v>16</v>
      </c>
      <c r="N155" s="10">
        <v>742.76</v>
      </c>
      <c r="O155" s="27" t="s">
        <v>17</v>
      </c>
      <c r="P155" s="12" t="s">
        <v>52</v>
      </c>
      <c r="Q155" s="55" t="str">
        <f>IF(AND(Dmart_sales_data[[#This Row],[customer_type2]]="Member",OR(Dmart_sales_data[[#This Row],[payment_mode]]="UPI",Dmart_sales_data[[#This Row],[payment_mode]]="Card")),"yes","No")</f>
        <v>No</v>
      </c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</row>
    <row r="156" spans="1:28" ht="14.25" customHeight="1" x14ac:dyDescent="0.3">
      <c r="A156" s="13" t="s">
        <v>198</v>
      </c>
      <c r="B156" s="14" t="s">
        <v>24</v>
      </c>
      <c r="C156" s="14" t="s">
        <v>24</v>
      </c>
      <c r="D156" s="15" t="s">
        <v>14</v>
      </c>
      <c r="E156" s="15">
        <v>804.72</v>
      </c>
      <c r="F156" s="5" t="str">
        <f>IF(Dmart_sales_data[[#This Row],[sales]]&gt;3000,"High Sales",IF(Dmart_sales_data[[#This Row],[sales]]&gt;1000,"Medium Sales","Low Sales"))</f>
        <v>Low Sales</v>
      </c>
      <c r="G156" s="15">
        <v>0.41</v>
      </c>
      <c r="H156" s="15">
        <v>2</v>
      </c>
      <c r="I156" s="16">
        <v>45458</v>
      </c>
      <c r="J156" s="16">
        <v>45460</v>
      </c>
      <c r="K156" s="15" t="s">
        <v>20</v>
      </c>
      <c r="L156" s="15" t="s">
        <v>20</v>
      </c>
      <c r="M156" s="15" t="s">
        <v>16</v>
      </c>
      <c r="N156" s="15">
        <v>182.68</v>
      </c>
      <c r="O156" s="27" t="s">
        <v>17</v>
      </c>
      <c r="P156" s="17" t="s">
        <v>95</v>
      </c>
      <c r="Q156" s="55" t="str">
        <f>IF(AND(Dmart_sales_data[[#This Row],[customer_type2]]="Member",OR(Dmart_sales_data[[#This Row],[payment_mode]]="UPI",Dmart_sales_data[[#This Row],[payment_mode]]="Card")),"yes","No")</f>
        <v>No</v>
      </c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</row>
    <row r="157" spans="1:28" ht="14.25" customHeight="1" x14ac:dyDescent="0.3">
      <c r="A157" s="8" t="s">
        <v>199</v>
      </c>
      <c r="B157" s="9" t="s">
        <v>29</v>
      </c>
      <c r="C157" s="9" t="s">
        <v>29</v>
      </c>
      <c r="D157" s="10" t="s">
        <v>25</v>
      </c>
      <c r="E157" s="10">
        <v>4142.6499999999996</v>
      </c>
      <c r="F157" s="5" t="str">
        <f>IF(Dmart_sales_data[[#This Row],[sales]]&gt;3000,"High Sales",IF(Dmart_sales_data[[#This Row],[sales]]&gt;1000,"Medium Sales","Low Sales"))</f>
        <v>High Sales</v>
      </c>
      <c r="G157" s="10">
        <v>0.31</v>
      </c>
      <c r="H157" s="10">
        <v>4</v>
      </c>
      <c r="I157" s="11">
        <v>45128</v>
      </c>
      <c r="J157" s="11">
        <v>45129</v>
      </c>
      <c r="K157" s="10" t="s">
        <v>15</v>
      </c>
      <c r="L157" s="10" t="s">
        <v>15</v>
      </c>
      <c r="M157" s="10" t="s">
        <v>26</v>
      </c>
      <c r="N157" s="10">
        <v>735.37</v>
      </c>
      <c r="O157" s="27" t="s">
        <v>79</v>
      </c>
      <c r="P157" s="12" t="s">
        <v>22</v>
      </c>
      <c r="Q157" s="55" t="str">
        <f>IF(AND(Dmart_sales_data[[#This Row],[customer_type2]]="Member",OR(Dmart_sales_data[[#This Row],[payment_mode]]="UPI",Dmart_sales_data[[#This Row],[payment_mode]]="Card")),"yes","No")</f>
        <v>No</v>
      </c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</row>
    <row r="158" spans="1:28" ht="14.25" customHeight="1" x14ac:dyDescent="0.3">
      <c r="A158" s="13" t="s">
        <v>200</v>
      </c>
      <c r="B158" s="14" t="s">
        <v>13</v>
      </c>
      <c r="C158" s="4" t="s">
        <v>13</v>
      </c>
      <c r="D158" s="15" t="s">
        <v>34</v>
      </c>
      <c r="E158" s="15">
        <v>3706.28</v>
      </c>
      <c r="F158" s="5" t="str">
        <f>IF(Dmart_sales_data[[#This Row],[sales]]&gt;3000,"High Sales",IF(Dmart_sales_data[[#This Row],[sales]]&gt;1000,"Medium Sales","Low Sales"))</f>
        <v>High Sales</v>
      </c>
      <c r="G158" s="15">
        <v>0.25</v>
      </c>
      <c r="H158" s="15">
        <v>4</v>
      </c>
      <c r="I158" s="16">
        <v>45149</v>
      </c>
      <c r="J158" s="16">
        <v>45156</v>
      </c>
      <c r="K158" s="15" t="s">
        <v>15</v>
      </c>
      <c r="L158" s="15" t="s">
        <v>15</v>
      </c>
      <c r="M158" s="15" t="s">
        <v>16</v>
      </c>
      <c r="N158" s="15">
        <v>813.65</v>
      </c>
      <c r="O158" s="27" t="s">
        <v>41</v>
      </c>
      <c r="P158" s="17" t="s">
        <v>44</v>
      </c>
      <c r="Q158" s="55" t="str">
        <f>IF(AND(Dmart_sales_data[[#This Row],[customer_type2]]="Member",OR(Dmart_sales_data[[#This Row],[payment_mode]]="UPI",Dmart_sales_data[[#This Row],[payment_mode]]="Card")),"yes","No")</f>
        <v>yes</v>
      </c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</row>
    <row r="159" spans="1:28" ht="14.25" customHeight="1" x14ac:dyDescent="0.3">
      <c r="A159" s="8" t="s">
        <v>201</v>
      </c>
      <c r="B159" s="9" t="s">
        <v>576</v>
      </c>
      <c r="C159" s="9" t="s">
        <v>576</v>
      </c>
      <c r="D159" s="10" t="s">
        <v>14</v>
      </c>
      <c r="E159" s="10">
        <v>2697.46</v>
      </c>
      <c r="F159" s="5" t="str">
        <f>IF(Dmart_sales_data[[#This Row],[sales]]&gt;3000,"High Sales",IF(Dmart_sales_data[[#This Row],[sales]]&gt;1000,"Medium Sales","Low Sales"))</f>
        <v>Medium Sales</v>
      </c>
      <c r="G159" s="10">
        <v>0.37</v>
      </c>
      <c r="H159" s="10">
        <v>1</v>
      </c>
      <c r="I159" s="11">
        <v>45055</v>
      </c>
      <c r="J159" s="11">
        <v>45058</v>
      </c>
      <c r="K159" s="10" t="s">
        <v>20</v>
      </c>
      <c r="L159" s="10" t="s">
        <v>20</v>
      </c>
      <c r="M159" s="10" t="s">
        <v>26</v>
      </c>
      <c r="N159" s="10">
        <v>597.1</v>
      </c>
      <c r="O159" s="27" t="s">
        <v>79</v>
      </c>
      <c r="P159" s="12" t="s">
        <v>55</v>
      </c>
      <c r="Q159" s="55" t="str">
        <f>IF(AND(Dmart_sales_data[[#This Row],[customer_type2]]="Member",OR(Dmart_sales_data[[#This Row],[payment_mode]]="UPI",Dmart_sales_data[[#This Row],[payment_mode]]="Card")),"yes","No")</f>
        <v>No</v>
      </c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</row>
    <row r="160" spans="1:28" ht="14.25" customHeight="1" x14ac:dyDescent="0.3">
      <c r="A160" s="13" t="s">
        <v>202</v>
      </c>
      <c r="B160" s="14" t="s">
        <v>24</v>
      </c>
      <c r="C160" s="14" t="s">
        <v>24</v>
      </c>
      <c r="D160" s="15" t="s">
        <v>25</v>
      </c>
      <c r="E160" s="15">
        <v>226.92</v>
      </c>
      <c r="F160" s="5" t="str">
        <f>IF(Dmart_sales_data[[#This Row],[sales]]&gt;3000,"High Sales",IF(Dmart_sales_data[[#This Row],[sales]]&gt;1000,"Medium Sales","Low Sales"))</f>
        <v>Low Sales</v>
      </c>
      <c r="G160" s="15">
        <v>0.48</v>
      </c>
      <c r="H160" s="15">
        <v>7</v>
      </c>
      <c r="I160" s="16">
        <v>45256</v>
      </c>
      <c r="J160" s="16">
        <v>45262</v>
      </c>
      <c r="K160" s="15" t="s">
        <v>15</v>
      </c>
      <c r="L160" s="15" t="s">
        <v>15</v>
      </c>
      <c r="M160" s="15" t="s">
        <v>16</v>
      </c>
      <c r="N160" s="15">
        <v>43.53</v>
      </c>
      <c r="O160" s="27" t="s">
        <v>79</v>
      </c>
      <c r="P160" s="17" t="s">
        <v>55</v>
      </c>
      <c r="Q160" s="55" t="str">
        <f>IF(AND(Dmart_sales_data[[#This Row],[customer_type2]]="Member",OR(Dmart_sales_data[[#This Row],[payment_mode]]="UPI",Dmart_sales_data[[#This Row],[payment_mode]]="Card")),"yes","No")</f>
        <v>yes</v>
      </c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</row>
    <row r="161" spans="1:28" ht="14.25" customHeight="1" x14ac:dyDescent="0.3">
      <c r="A161" s="8" t="s">
        <v>203</v>
      </c>
      <c r="B161" s="9" t="s">
        <v>29</v>
      </c>
      <c r="C161" s="9" t="s">
        <v>29</v>
      </c>
      <c r="D161" s="10" t="s">
        <v>34</v>
      </c>
      <c r="E161" s="10">
        <v>2458.16</v>
      </c>
      <c r="F161" s="5" t="str">
        <f>IF(Dmart_sales_data[[#This Row],[sales]]&gt;3000,"High Sales",IF(Dmart_sales_data[[#This Row],[sales]]&gt;1000,"Medium Sales","Low Sales"))</f>
        <v>Medium Sales</v>
      </c>
      <c r="G161" s="10">
        <v>0.21</v>
      </c>
      <c r="H161" s="10">
        <v>4</v>
      </c>
      <c r="I161" s="11">
        <v>45584</v>
      </c>
      <c r="J161" s="11">
        <v>45585</v>
      </c>
      <c r="K161" s="10" t="s">
        <v>20</v>
      </c>
      <c r="L161" s="10" t="s">
        <v>20</v>
      </c>
      <c r="M161" s="10" t="s">
        <v>26</v>
      </c>
      <c r="N161" s="10">
        <v>508.56</v>
      </c>
      <c r="O161" s="27" t="s">
        <v>27</v>
      </c>
      <c r="P161" s="12" t="s">
        <v>48</v>
      </c>
      <c r="Q161" s="55" t="str">
        <f>IF(AND(Dmart_sales_data[[#This Row],[customer_type2]]="Member",OR(Dmart_sales_data[[#This Row],[payment_mode]]="UPI",Dmart_sales_data[[#This Row],[payment_mode]]="Card")),"yes","No")</f>
        <v>No</v>
      </c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</row>
    <row r="162" spans="1:28" ht="14.25" customHeight="1" x14ac:dyDescent="0.3">
      <c r="A162" s="13" t="s">
        <v>204</v>
      </c>
      <c r="B162" s="14" t="s">
        <v>13</v>
      </c>
      <c r="C162" s="4" t="s">
        <v>13</v>
      </c>
      <c r="D162" s="15" t="s">
        <v>25</v>
      </c>
      <c r="E162" s="15">
        <v>1203.46</v>
      </c>
      <c r="F162" s="5" t="str">
        <f>IF(Dmart_sales_data[[#This Row],[sales]]&gt;3000,"High Sales",IF(Dmart_sales_data[[#This Row],[sales]]&gt;1000,"Medium Sales","Low Sales"))</f>
        <v>Medium Sales</v>
      </c>
      <c r="G162" s="15">
        <v>0.18</v>
      </c>
      <c r="H162" s="15">
        <v>1</v>
      </c>
      <c r="I162" s="16">
        <v>45367</v>
      </c>
      <c r="J162" s="16">
        <v>45372</v>
      </c>
      <c r="K162" s="15" t="s">
        <v>32</v>
      </c>
      <c r="L162" s="15" t="s">
        <v>32</v>
      </c>
      <c r="M162" s="15" t="s">
        <v>26</v>
      </c>
      <c r="N162" s="15">
        <v>166.4</v>
      </c>
      <c r="O162" s="27" t="s">
        <v>35</v>
      </c>
      <c r="P162" s="17" t="s">
        <v>35</v>
      </c>
      <c r="Q162" s="55" t="str">
        <f>IF(AND(Dmart_sales_data[[#This Row],[customer_type2]]="Member",OR(Dmart_sales_data[[#This Row],[payment_mode]]="UPI",Dmart_sales_data[[#This Row],[payment_mode]]="Card")),"yes","No")</f>
        <v>No</v>
      </c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</row>
    <row r="163" spans="1:28" ht="14.25" customHeight="1" x14ac:dyDescent="0.3">
      <c r="A163" s="8" t="s">
        <v>205</v>
      </c>
      <c r="B163" s="9" t="s">
        <v>576</v>
      </c>
      <c r="C163" s="9" t="s">
        <v>576</v>
      </c>
      <c r="D163" s="10" t="s">
        <v>34</v>
      </c>
      <c r="E163" s="10">
        <v>2125.5300000000002</v>
      </c>
      <c r="F163" s="5" t="str">
        <f>IF(Dmart_sales_data[[#This Row],[sales]]&gt;3000,"High Sales",IF(Dmart_sales_data[[#This Row],[sales]]&gt;1000,"Medium Sales","Low Sales"))</f>
        <v>Medium Sales</v>
      </c>
      <c r="G163" s="10">
        <v>0.49</v>
      </c>
      <c r="H163" s="10">
        <v>3</v>
      </c>
      <c r="I163" s="11">
        <v>45054</v>
      </c>
      <c r="J163" s="11">
        <v>45058</v>
      </c>
      <c r="K163" s="10" t="s">
        <v>32</v>
      </c>
      <c r="L163" s="10" t="s">
        <v>32</v>
      </c>
      <c r="M163" s="10" t="s">
        <v>21</v>
      </c>
      <c r="N163" s="10">
        <v>292.08</v>
      </c>
      <c r="O163" s="27" t="s">
        <v>35</v>
      </c>
      <c r="P163" s="12" t="s">
        <v>58</v>
      </c>
      <c r="Q163" s="55" t="str">
        <f>IF(AND(Dmart_sales_data[[#This Row],[customer_type2]]="Member",OR(Dmart_sales_data[[#This Row],[payment_mode]]="UPI",Dmart_sales_data[[#This Row],[payment_mode]]="Card")),"yes","No")</f>
        <v>No</v>
      </c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</row>
    <row r="164" spans="1:28" ht="14.25" customHeight="1" x14ac:dyDescent="0.3">
      <c r="A164" s="13" t="s">
        <v>206</v>
      </c>
      <c r="B164" s="14" t="s">
        <v>24</v>
      </c>
      <c r="C164" s="14" t="s">
        <v>24</v>
      </c>
      <c r="D164" s="15" t="s">
        <v>37</v>
      </c>
      <c r="E164" s="15">
        <v>4296.49</v>
      </c>
      <c r="F164" s="5" t="str">
        <f>IF(Dmart_sales_data[[#This Row],[sales]]&gt;3000,"High Sales",IF(Dmart_sales_data[[#This Row],[sales]]&gt;1000,"Medium Sales","Low Sales"))</f>
        <v>High Sales</v>
      </c>
      <c r="G164" s="15">
        <v>0.39</v>
      </c>
      <c r="H164" s="15">
        <v>8</v>
      </c>
      <c r="I164" s="16">
        <v>45067</v>
      </c>
      <c r="J164" s="16">
        <v>45074</v>
      </c>
      <c r="K164" s="15" t="s">
        <v>20</v>
      </c>
      <c r="L164" s="15" t="s">
        <v>20</v>
      </c>
      <c r="M164" s="15" t="s">
        <v>16</v>
      </c>
      <c r="N164" s="15">
        <v>579.12</v>
      </c>
      <c r="O164" s="27" t="s">
        <v>41</v>
      </c>
      <c r="P164" s="17" t="s">
        <v>41</v>
      </c>
      <c r="Q164" s="55" t="str">
        <f>IF(AND(Dmart_sales_data[[#This Row],[customer_type2]]="Member",OR(Dmart_sales_data[[#This Row],[payment_mode]]="UPI",Dmart_sales_data[[#This Row],[payment_mode]]="Card")),"yes","No")</f>
        <v>No</v>
      </c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</row>
    <row r="165" spans="1:28" ht="14.25" customHeight="1" x14ac:dyDescent="0.3">
      <c r="A165" s="8" t="s">
        <v>207</v>
      </c>
      <c r="B165" s="9" t="s">
        <v>29</v>
      </c>
      <c r="C165" s="9" t="s">
        <v>29</v>
      </c>
      <c r="D165" s="10" t="s">
        <v>34</v>
      </c>
      <c r="E165" s="10">
        <v>3871.06</v>
      </c>
      <c r="F165" s="5" t="str">
        <f>IF(Dmart_sales_data[[#This Row],[sales]]&gt;3000,"High Sales",IF(Dmart_sales_data[[#This Row],[sales]]&gt;1000,"Medium Sales","Low Sales"))</f>
        <v>High Sales</v>
      </c>
      <c r="G165" s="10">
        <v>0.39</v>
      </c>
      <c r="H165" s="10">
        <v>4</v>
      </c>
      <c r="I165" s="11">
        <v>45396</v>
      </c>
      <c r="J165" s="11">
        <v>45403</v>
      </c>
      <c r="K165" s="10" t="s">
        <v>32</v>
      </c>
      <c r="L165" s="10" t="s">
        <v>32</v>
      </c>
      <c r="M165" s="10" t="s">
        <v>21</v>
      </c>
      <c r="N165" s="10">
        <v>230.99</v>
      </c>
      <c r="O165" s="27" t="s">
        <v>35</v>
      </c>
      <c r="P165" s="12" t="s">
        <v>35</v>
      </c>
      <c r="Q165" s="55" t="str">
        <f>IF(AND(Dmart_sales_data[[#This Row],[customer_type2]]="Member",OR(Dmart_sales_data[[#This Row],[payment_mode]]="UPI",Dmart_sales_data[[#This Row],[payment_mode]]="Card")),"yes","No")</f>
        <v>No</v>
      </c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</row>
    <row r="166" spans="1:28" ht="14.25" customHeight="1" x14ac:dyDescent="0.3">
      <c r="A166" s="13" t="s">
        <v>208</v>
      </c>
      <c r="B166" s="14" t="s">
        <v>13</v>
      </c>
      <c r="C166" s="4" t="s">
        <v>13</v>
      </c>
      <c r="D166" s="15" t="s">
        <v>19</v>
      </c>
      <c r="E166" s="15">
        <v>1285.57</v>
      </c>
      <c r="F166" s="5" t="str">
        <f>IF(Dmart_sales_data[[#This Row],[sales]]&gt;3000,"High Sales",IF(Dmart_sales_data[[#This Row],[sales]]&gt;1000,"Medium Sales","Low Sales"))</f>
        <v>Medium Sales</v>
      </c>
      <c r="G166" s="15">
        <v>0.3</v>
      </c>
      <c r="H166" s="15">
        <v>1</v>
      </c>
      <c r="I166" s="16">
        <v>45508</v>
      </c>
      <c r="J166" s="16">
        <v>45509</v>
      </c>
      <c r="K166" s="15" t="s">
        <v>32</v>
      </c>
      <c r="L166" s="15" t="s">
        <v>32</v>
      </c>
      <c r="M166" s="15" t="s">
        <v>26</v>
      </c>
      <c r="N166" s="15">
        <v>330.45</v>
      </c>
      <c r="O166" s="27" t="s">
        <v>100</v>
      </c>
      <c r="P166" s="17" t="s">
        <v>63</v>
      </c>
      <c r="Q166" s="55" t="str">
        <f>IF(AND(Dmart_sales_data[[#This Row],[customer_type2]]="Member",OR(Dmart_sales_data[[#This Row],[payment_mode]]="UPI",Dmart_sales_data[[#This Row],[payment_mode]]="Card")),"yes","No")</f>
        <v>No</v>
      </c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</row>
    <row r="167" spans="1:28" ht="14.25" customHeight="1" x14ac:dyDescent="0.3">
      <c r="A167" s="8" t="s">
        <v>209</v>
      </c>
      <c r="B167" s="9" t="s">
        <v>576</v>
      </c>
      <c r="C167" s="9" t="s">
        <v>576</v>
      </c>
      <c r="D167" s="10" t="s">
        <v>37</v>
      </c>
      <c r="E167" s="10">
        <v>4926.2700000000004</v>
      </c>
      <c r="F167" s="5" t="str">
        <f>IF(Dmart_sales_data[[#This Row],[sales]]&gt;3000,"High Sales",IF(Dmart_sales_data[[#This Row],[sales]]&gt;1000,"Medium Sales","Low Sales"))</f>
        <v>High Sales</v>
      </c>
      <c r="G167" s="10">
        <v>0.25</v>
      </c>
      <c r="H167" s="10">
        <v>7</v>
      </c>
      <c r="I167" s="11">
        <v>45087</v>
      </c>
      <c r="J167" s="11">
        <v>45088</v>
      </c>
      <c r="K167" s="10" t="s">
        <v>32</v>
      </c>
      <c r="L167" s="10" t="s">
        <v>32</v>
      </c>
      <c r="M167" s="10" t="s">
        <v>26</v>
      </c>
      <c r="N167" s="10">
        <v>440.26</v>
      </c>
      <c r="O167" s="27" t="s">
        <v>41</v>
      </c>
      <c r="P167" s="12" t="s">
        <v>41</v>
      </c>
      <c r="Q167" s="55" t="str">
        <f>IF(AND(Dmart_sales_data[[#This Row],[customer_type2]]="Member",OR(Dmart_sales_data[[#This Row],[payment_mode]]="UPI",Dmart_sales_data[[#This Row],[payment_mode]]="Card")),"yes","No")</f>
        <v>No</v>
      </c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</row>
    <row r="168" spans="1:28" ht="14.25" customHeight="1" x14ac:dyDescent="0.3">
      <c r="A168" s="13" t="s">
        <v>210</v>
      </c>
      <c r="B168" s="14" t="s">
        <v>24</v>
      </c>
      <c r="C168" s="14" t="s">
        <v>24</v>
      </c>
      <c r="D168" s="15" t="s">
        <v>25</v>
      </c>
      <c r="E168" s="15">
        <v>4525.7299999999996</v>
      </c>
      <c r="F168" s="5" t="str">
        <f>IF(Dmart_sales_data[[#This Row],[sales]]&gt;3000,"High Sales",IF(Dmart_sales_data[[#This Row],[sales]]&gt;1000,"Medium Sales","Low Sales"))</f>
        <v>High Sales</v>
      </c>
      <c r="G168" s="15">
        <v>0.28000000000000003</v>
      </c>
      <c r="H168" s="15">
        <v>8</v>
      </c>
      <c r="I168" s="16">
        <v>45375</v>
      </c>
      <c r="J168" s="16">
        <v>45380</v>
      </c>
      <c r="K168" s="15" t="s">
        <v>20</v>
      </c>
      <c r="L168" s="15" t="s">
        <v>20</v>
      </c>
      <c r="M168" s="15" t="s">
        <v>16</v>
      </c>
      <c r="N168" s="15">
        <v>332.86</v>
      </c>
      <c r="O168" s="27" t="s">
        <v>79</v>
      </c>
      <c r="P168" s="17" t="s">
        <v>55</v>
      </c>
      <c r="Q168" s="55" t="str">
        <f>IF(AND(Dmart_sales_data[[#This Row],[customer_type2]]="Member",OR(Dmart_sales_data[[#This Row],[payment_mode]]="UPI",Dmart_sales_data[[#This Row],[payment_mode]]="Card")),"yes","No")</f>
        <v>No</v>
      </c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</row>
    <row r="169" spans="1:28" ht="14.25" customHeight="1" x14ac:dyDescent="0.3">
      <c r="A169" s="8" t="s">
        <v>211</v>
      </c>
      <c r="B169" s="9" t="s">
        <v>29</v>
      </c>
      <c r="C169" s="9" t="s">
        <v>29</v>
      </c>
      <c r="D169" s="10" t="s">
        <v>37</v>
      </c>
      <c r="E169" s="10">
        <v>2690.5</v>
      </c>
      <c r="F169" s="5" t="str">
        <f>IF(Dmart_sales_data[[#This Row],[sales]]&gt;3000,"High Sales",IF(Dmart_sales_data[[#This Row],[sales]]&gt;1000,"Medium Sales","Low Sales"))</f>
        <v>Medium Sales</v>
      </c>
      <c r="G169" s="10">
        <v>0.33</v>
      </c>
      <c r="H169" s="10">
        <v>5</v>
      </c>
      <c r="I169" s="11">
        <v>45441</v>
      </c>
      <c r="J169" s="11">
        <v>45444</v>
      </c>
      <c r="K169" s="10" t="s">
        <v>15</v>
      </c>
      <c r="L169" s="10" t="s">
        <v>15</v>
      </c>
      <c r="M169" s="10" t="s">
        <v>26</v>
      </c>
      <c r="N169" s="10">
        <v>418.96</v>
      </c>
      <c r="O169" s="27" t="s">
        <v>41</v>
      </c>
      <c r="P169" s="12" t="s">
        <v>41</v>
      </c>
      <c r="Q169" s="55" t="str">
        <f>IF(AND(Dmart_sales_data[[#This Row],[customer_type2]]="Member",OR(Dmart_sales_data[[#This Row],[payment_mode]]="UPI",Dmart_sales_data[[#This Row],[payment_mode]]="Card")),"yes","No")</f>
        <v>No</v>
      </c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</row>
    <row r="170" spans="1:28" ht="14.25" customHeight="1" x14ac:dyDescent="0.3">
      <c r="A170" s="13" t="s">
        <v>212</v>
      </c>
      <c r="B170" s="14" t="s">
        <v>13</v>
      </c>
      <c r="C170" s="4" t="s">
        <v>13</v>
      </c>
      <c r="D170" s="15" t="s">
        <v>37</v>
      </c>
      <c r="E170" s="15">
        <v>2697.74</v>
      </c>
      <c r="F170" s="5" t="str">
        <f>IF(Dmart_sales_data[[#This Row],[sales]]&gt;3000,"High Sales",IF(Dmart_sales_data[[#This Row],[sales]]&gt;1000,"Medium Sales","Low Sales"))</f>
        <v>Medium Sales</v>
      </c>
      <c r="G170" s="15">
        <v>0.19</v>
      </c>
      <c r="H170" s="15">
        <v>9</v>
      </c>
      <c r="I170" s="16">
        <v>45315</v>
      </c>
      <c r="J170" s="16">
        <v>45319</v>
      </c>
      <c r="K170" s="15" t="s">
        <v>20</v>
      </c>
      <c r="L170" s="15" t="s">
        <v>20</v>
      </c>
      <c r="M170" s="15" t="s">
        <v>16</v>
      </c>
      <c r="N170" s="15">
        <v>458.18</v>
      </c>
      <c r="O170" s="27" t="s">
        <v>79</v>
      </c>
      <c r="P170" s="17" t="s">
        <v>55</v>
      </c>
      <c r="Q170" s="55" t="str">
        <f>IF(AND(Dmart_sales_data[[#This Row],[customer_type2]]="Member",OR(Dmart_sales_data[[#This Row],[payment_mode]]="UPI",Dmart_sales_data[[#This Row],[payment_mode]]="Card")),"yes","No")</f>
        <v>No</v>
      </c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</row>
    <row r="171" spans="1:28" ht="14.25" customHeight="1" x14ac:dyDescent="0.3">
      <c r="A171" s="8" t="s">
        <v>213</v>
      </c>
      <c r="B171" s="9" t="s">
        <v>576</v>
      </c>
      <c r="C171" s="9" t="s">
        <v>576</v>
      </c>
      <c r="D171" s="10" t="s">
        <v>25</v>
      </c>
      <c r="E171" s="10">
        <v>4516.2</v>
      </c>
      <c r="F171" s="5" t="str">
        <f>IF(Dmart_sales_data[[#This Row],[sales]]&gt;3000,"High Sales",IF(Dmart_sales_data[[#This Row],[sales]]&gt;1000,"Medium Sales","Low Sales"))</f>
        <v>High Sales</v>
      </c>
      <c r="G171" s="10">
        <v>0.39</v>
      </c>
      <c r="H171" s="10">
        <v>7</v>
      </c>
      <c r="I171" s="11">
        <v>45450</v>
      </c>
      <c r="J171" s="11">
        <v>45457</v>
      </c>
      <c r="K171" s="10" t="s">
        <v>20</v>
      </c>
      <c r="L171" s="10" t="s">
        <v>20</v>
      </c>
      <c r="M171" s="10" t="s">
        <v>16</v>
      </c>
      <c r="N171" s="10">
        <v>522.95000000000005</v>
      </c>
      <c r="O171" s="27" t="s">
        <v>79</v>
      </c>
      <c r="P171" s="12" t="s">
        <v>22</v>
      </c>
      <c r="Q171" s="55" t="str">
        <f>IF(AND(Dmart_sales_data[[#This Row],[customer_type2]]="Member",OR(Dmart_sales_data[[#This Row],[payment_mode]]="UPI",Dmart_sales_data[[#This Row],[payment_mode]]="Card")),"yes","No")</f>
        <v>No</v>
      </c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</row>
    <row r="172" spans="1:28" ht="14.25" customHeight="1" x14ac:dyDescent="0.3">
      <c r="A172" s="13" t="s">
        <v>214</v>
      </c>
      <c r="B172" s="14" t="s">
        <v>24</v>
      </c>
      <c r="C172" s="14" t="s">
        <v>24</v>
      </c>
      <c r="D172" s="15" t="s">
        <v>25</v>
      </c>
      <c r="E172" s="15">
        <v>3217.11</v>
      </c>
      <c r="F172" s="5" t="str">
        <f>IF(Dmart_sales_data[[#This Row],[sales]]&gt;3000,"High Sales",IF(Dmart_sales_data[[#This Row],[sales]]&gt;1000,"Medium Sales","Low Sales"))</f>
        <v>High Sales</v>
      </c>
      <c r="G172" s="15">
        <v>0.45</v>
      </c>
      <c r="H172" s="15">
        <v>4</v>
      </c>
      <c r="I172" s="16">
        <v>45215</v>
      </c>
      <c r="J172" s="16">
        <v>45219</v>
      </c>
      <c r="K172" s="15" t="s">
        <v>15</v>
      </c>
      <c r="L172" s="15" t="s">
        <v>15</v>
      </c>
      <c r="M172" s="15" t="s">
        <v>16</v>
      </c>
      <c r="N172" s="15">
        <v>930.19</v>
      </c>
      <c r="O172" s="27" t="s">
        <v>41</v>
      </c>
      <c r="P172" s="17" t="s">
        <v>44</v>
      </c>
      <c r="Q172" s="55" t="str">
        <f>IF(AND(Dmart_sales_data[[#This Row],[customer_type2]]="Member",OR(Dmart_sales_data[[#This Row],[payment_mode]]="UPI",Dmart_sales_data[[#This Row],[payment_mode]]="Card")),"yes","No")</f>
        <v>yes</v>
      </c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</row>
    <row r="173" spans="1:28" ht="14.25" customHeight="1" x14ac:dyDescent="0.3">
      <c r="A173" s="8" t="s">
        <v>215</v>
      </c>
      <c r="B173" s="9" t="s">
        <v>29</v>
      </c>
      <c r="C173" s="9" t="s">
        <v>29</v>
      </c>
      <c r="D173" s="10" t="s">
        <v>19</v>
      </c>
      <c r="E173" s="10">
        <v>2729.77</v>
      </c>
      <c r="F173" s="5" t="str">
        <f>IF(Dmart_sales_data[[#This Row],[sales]]&gt;3000,"High Sales",IF(Dmart_sales_data[[#This Row],[sales]]&gt;1000,"Medium Sales","Low Sales"))</f>
        <v>Medium Sales</v>
      </c>
      <c r="G173" s="10">
        <v>0.28999999999999998</v>
      </c>
      <c r="H173" s="10">
        <v>9</v>
      </c>
      <c r="I173" s="11">
        <v>45415</v>
      </c>
      <c r="J173" s="11">
        <v>45418</v>
      </c>
      <c r="K173" s="10" t="s">
        <v>20</v>
      </c>
      <c r="L173" s="10" t="s">
        <v>20</v>
      </c>
      <c r="M173" s="10" t="s">
        <v>21</v>
      </c>
      <c r="N173" s="10">
        <v>250.2</v>
      </c>
      <c r="O173" s="27" t="s">
        <v>27</v>
      </c>
      <c r="P173" s="12" t="s">
        <v>39</v>
      </c>
      <c r="Q173" s="55" t="str">
        <f>IF(AND(Dmart_sales_data[[#This Row],[customer_type2]]="Member",OR(Dmart_sales_data[[#This Row],[payment_mode]]="UPI",Dmart_sales_data[[#This Row],[payment_mode]]="Card")),"yes","No")</f>
        <v>No</v>
      </c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</row>
    <row r="174" spans="1:28" ht="14.25" customHeight="1" x14ac:dyDescent="0.3">
      <c r="A174" s="13" t="s">
        <v>216</v>
      </c>
      <c r="B174" s="14" t="s">
        <v>13</v>
      </c>
      <c r="C174" s="4" t="s">
        <v>13</v>
      </c>
      <c r="D174" s="15" t="s">
        <v>25</v>
      </c>
      <c r="E174" s="15">
        <v>3770.83</v>
      </c>
      <c r="F174" s="5" t="str">
        <f>IF(Dmart_sales_data[[#This Row],[sales]]&gt;3000,"High Sales",IF(Dmart_sales_data[[#This Row],[sales]]&gt;1000,"Medium Sales","Low Sales"))</f>
        <v>High Sales</v>
      </c>
      <c r="G174" s="15">
        <v>0.19</v>
      </c>
      <c r="H174" s="15">
        <v>6</v>
      </c>
      <c r="I174" s="16">
        <v>44953</v>
      </c>
      <c r="J174" s="16">
        <v>44959</v>
      </c>
      <c r="K174" s="15" t="s">
        <v>20</v>
      </c>
      <c r="L174" s="15" t="s">
        <v>20</v>
      </c>
      <c r="M174" s="15" t="s">
        <v>16</v>
      </c>
      <c r="N174" s="15">
        <v>729.42</v>
      </c>
      <c r="O174" s="27" t="s">
        <v>17</v>
      </c>
      <c r="P174" s="17" t="s">
        <v>17</v>
      </c>
      <c r="Q174" s="55" t="str">
        <f>IF(AND(Dmart_sales_data[[#This Row],[customer_type2]]="Member",OR(Dmart_sales_data[[#This Row],[payment_mode]]="UPI",Dmart_sales_data[[#This Row],[payment_mode]]="Card")),"yes","No")</f>
        <v>No</v>
      </c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</row>
    <row r="175" spans="1:28" ht="14.25" customHeight="1" x14ac:dyDescent="0.3">
      <c r="A175" s="8" t="s">
        <v>217</v>
      </c>
      <c r="B175" s="9" t="s">
        <v>576</v>
      </c>
      <c r="C175" s="9" t="s">
        <v>576</v>
      </c>
      <c r="D175" s="10" t="s">
        <v>14</v>
      </c>
      <c r="E175" s="10">
        <v>1251.98</v>
      </c>
      <c r="F175" s="5" t="str">
        <f>IF(Dmart_sales_data[[#This Row],[sales]]&gt;3000,"High Sales",IF(Dmart_sales_data[[#This Row],[sales]]&gt;1000,"Medium Sales","Low Sales"))</f>
        <v>Medium Sales</v>
      </c>
      <c r="G175" s="10">
        <v>0.35</v>
      </c>
      <c r="H175" s="10">
        <v>8</v>
      </c>
      <c r="I175" s="11">
        <v>45295</v>
      </c>
      <c r="J175" s="11">
        <v>45300</v>
      </c>
      <c r="K175" s="10" t="s">
        <v>20</v>
      </c>
      <c r="L175" s="10" t="s">
        <v>20</v>
      </c>
      <c r="M175" s="10" t="s">
        <v>16</v>
      </c>
      <c r="N175" s="10">
        <v>253.73</v>
      </c>
      <c r="O175" s="27" t="s">
        <v>35</v>
      </c>
      <c r="P175" s="12" t="s">
        <v>35</v>
      </c>
      <c r="Q175" s="55" t="str">
        <f>IF(AND(Dmart_sales_data[[#This Row],[customer_type2]]="Member",OR(Dmart_sales_data[[#This Row],[payment_mode]]="UPI",Dmart_sales_data[[#This Row],[payment_mode]]="Card")),"yes","No")</f>
        <v>No</v>
      </c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</row>
    <row r="176" spans="1:28" ht="14.25" customHeight="1" x14ac:dyDescent="0.3">
      <c r="A176" s="13" t="s">
        <v>218</v>
      </c>
      <c r="B176" s="14" t="s">
        <v>24</v>
      </c>
      <c r="C176" s="14" t="s">
        <v>24</v>
      </c>
      <c r="D176" s="15" t="s">
        <v>14</v>
      </c>
      <c r="E176" s="15">
        <v>4404.05</v>
      </c>
      <c r="F176" s="5" t="str">
        <f>IF(Dmart_sales_data[[#This Row],[sales]]&gt;3000,"High Sales",IF(Dmart_sales_data[[#This Row],[sales]]&gt;1000,"Medium Sales","Low Sales"))</f>
        <v>High Sales</v>
      </c>
      <c r="G176" s="15">
        <v>0.09</v>
      </c>
      <c r="H176" s="15">
        <v>2</v>
      </c>
      <c r="I176" s="16">
        <v>44939</v>
      </c>
      <c r="J176" s="16">
        <v>44945</v>
      </c>
      <c r="K176" s="15" t="s">
        <v>32</v>
      </c>
      <c r="L176" s="15" t="s">
        <v>32</v>
      </c>
      <c r="M176" s="15" t="s">
        <v>16</v>
      </c>
      <c r="N176" s="15">
        <v>941.87</v>
      </c>
      <c r="O176" s="27" t="s">
        <v>100</v>
      </c>
      <c r="P176" s="17" t="s">
        <v>63</v>
      </c>
      <c r="Q176" s="55" t="str">
        <f>IF(AND(Dmart_sales_data[[#This Row],[customer_type2]]="Member",OR(Dmart_sales_data[[#This Row],[payment_mode]]="UPI",Dmart_sales_data[[#This Row],[payment_mode]]="Card")),"yes","No")</f>
        <v>No</v>
      </c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</row>
    <row r="177" spans="1:28" ht="14.25" customHeight="1" x14ac:dyDescent="0.3">
      <c r="A177" s="8" t="s">
        <v>219</v>
      </c>
      <c r="B177" s="9" t="s">
        <v>29</v>
      </c>
      <c r="C177" s="9" t="s">
        <v>29</v>
      </c>
      <c r="D177" s="10" t="s">
        <v>19</v>
      </c>
      <c r="E177" s="10">
        <v>2703.93</v>
      </c>
      <c r="F177" s="5" t="str">
        <f>IF(Dmart_sales_data[[#This Row],[sales]]&gt;3000,"High Sales",IF(Dmart_sales_data[[#This Row],[sales]]&gt;1000,"Medium Sales","Low Sales"))</f>
        <v>Medium Sales</v>
      </c>
      <c r="G177" s="10">
        <v>0.48</v>
      </c>
      <c r="H177" s="10">
        <v>5</v>
      </c>
      <c r="I177" s="11">
        <v>45292</v>
      </c>
      <c r="J177" s="11">
        <v>45297</v>
      </c>
      <c r="K177" s="10" t="s">
        <v>20</v>
      </c>
      <c r="L177" s="10" t="s">
        <v>20</v>
      </c>
      <c r="M177" s="10" t="s">
        <v>16</v>
      </c>
      <c r="N177" s="10">
        <v>671.84</v>
      </c>
      <c r="O177" s="27" t="s">
        <v>35</v>
      </c>
      <c r="P177" s="12" t="s">
        <v>58</v>
      </c>
      <c r="Q177" s="55" t="str">
        <f>IF(AND(Dmart_sales_data[[#This Row],[customer_type2]]="Member",OR(Dmart_sales_data[[#This Row],[payment_mode]]="UPI",Dmart_sales_data[[#This Row],[payment_mode]]="Card")),"yes","No")</f>
        <v>No</v>
      </c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</row>
    <row r="178" spans="1:28" ht="14.25" customHeight="1" x14ac:dyDescent="0.3">
      <c r="A178" s="13" t="s">
        <v>220</v>
      </c>
      <c r="B178" s="14" t="s">
        <v>13</v>
      </c>
      <c r="C178" s="4" t="s">
        <v>13</v>
      </c>
      <c r="D178" s="15" t="s">
        <v>34</v>
      </c>
      <c r="E178" s="15">
        <v>3057.15</v>
      </c>
      <c r="F178" s="5" t="str">
        <f>IF(Dmart_sales_data[[#This Row],[sales]]&gt;3000,"High Sales",IF(Dmart_sales_data[[#This Row],[sales]]&gt;1000,"Medium Sales","Low Sales"))</f>
        <v>High Sales</v>
      </c>
      <c r="G178" s="15">
        <v>0.33</v>
      </c>
      <c r="H178" s="15">
        <v>3</v>
      </c>
      <c r="I178" s="16">
        <v>45049</v>
      </c>
      <c r="J178" s="16">
        <v>45050</v>
      </c>
      <c r="K178" s="15" t="s">
        <v>20</v>
      </c>
      <c r="L178" s="15" t="s">
        <v>20</v>
      </c>
      <c r="M178" s="15" t="s">
        <v>16</v>
      </c>
      <c r="N178" s="15">
        <v>814</v>
      </c>
      <c r="O178" s="27" t="s">
        <v>41</v>
      </c>
      <c r="P178" s="17" t="s">
        <v>41</v>
      </c>
      <c r="Q178" s="55" t="str">
        <f>IF(AND(Dmart_sales_data[[#This Row],[customer_type2]]="Member",OR(Dmart_sales_data[[#This Row],[payment_mode]]="UPI",Dmart_sales_data[[#This Row],[payment_mode]]="Card")),"yes","No")</f>
        <v>No</v>
      </c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</row>
    <row r="179" spans="1:28" ht="14.25" customHeight="1" x14ac:dyDescent="0.3">
      <c r="A179" s="8" t="s">
        <v>221</v>
      </c>
      <c r="B179" s="9" t="s">
        <v>576</v>
      </c>
      <c r="C179" s="9" t="s">
        <v>576</v>
      </c>
      <c r="D179" s="10" t="s">
        <v>34</v>
      </c>
      <c r="E179" s="10">
        <v>540.72</v>
      </c>
      <c r="F179" s="5" t="str">
        <f>IF(Dmart_sales_data[[#This Row],[sales]]&gt;3000,"High Sales",IF(Dmart_sales_data[[#This Row],[sales]]&gt;1000,"Medium Sales","Low Sales"))</f>
        <v>Low Sales</v>
      </c>
      <c r="G179" s="10">
        <v>0.03</v>
      </c>
      <c r="H179" s="10">
        <v>5</v>
      </c>
      <c r="I179" s="11">
        <v>45641</v>
      </c>
      <c r="J179" s="11">
        <v>45643</v>
      </c>
      <c r="K179" s="10" t="s">
        <v>15</v>
      </c>
      <c r="L179" s="10" t="s">
        <v>15</v>
      </c>
      <c r="M179" s="10" t="s">
        <v>21</v>
      </c>
      <c r="N179" s="10">
        <v>66.459999999999994</v>
      </c>
      <c r="O179" s="27" t="s">
        <v>27</v>
      </c>
      <c r="P179" s="12" t="s">
        <v>39</v>
      </c>
      <c r="Q179" s="55" t="str">
        <f>IF(AND(Dmart_sales_data[[#This Row],[customer_type2]]="Member",OR(Dmart_sales_data[[#This Row],[payment_mode]]="UPI",Dmart_sales_data[[#This Row],[payment_mode]]="Card")),"yes","No")</f>
        <v>yes</v>
      </c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</row>
    <row r="180" spans="1:28" ht="14.25" customHeight="1" x14ac:dyDescent="0.3">
      <c r="A180" s="13" t="s">
        <v>222</v>
      </c>
      <c r="B180" s="14" t="s">
        <v>24</v>
      </c>
      <c r="C180" s="14" t="s">
        <v>24</v>
      </c>
      <c r="D180" s="15" t="s">
        <v>14</v>
      </c>
      <c r="E180" s="15">
        <v>1616.59</v>
      </c>
      <c r="F180" s="5" t="str">
        <f>IF(Dmart_sales_data[[#This Row],[sales]]&gt;3000,"High Sales",IF(Dmart_sales_data[[#This Row],[sales]]&gt;1000,"Medium Sales","Low Sales"))</f>
        <v>Medium Sales</v>
      </c>
      <c r="G180" s="15">
        <v>0.26</v>
      </c>
      <c r="H180" s="15">
        <v>8</v>
      </c>
      <c r="I180" s="16">
        <v>45180</v>
      </c>
      <c r="J180" s="16">
        <v>45187</v>
      </c>
      <c r="K180" s="15" t="s">
        <v>32</v>
      </c>
      <c r="L180" s="15" t="s">
        <v>32</v>
      </c>
      <c r="M180" s="15" t="s">
        <v>16</v>
      </c>
      <c r="N180" s="15">
        <v>479.33</v>
      </c>
      <c r="O180" s="27" t="s">
        <v>27</v>
      </c>
      <c r="P180" s="17" t="s">
        <v>27</v>
      </c>
      <c r="Q180" s="55" t="str">
        <f>IF(AND(Dmart_sales_data[[#This Row],[customer_type2]]="Member",OR(Dmart_sales_data[[#This Row],[payment_mode]]="UPI",Dmart_sales_data[[#This Row],[payment_mode]]="Card")),"yes","No")</f>
        <v>No</v>
      </c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</row>
    <row r="181" spans="1:28" ht="14.25" customHeight="1" x14ac:dyDescent="0.3">
      <c r="A181" s="8" t="s">
        <v>223</v>
      </c>
      <c r="B181" s="9" t="s">
        <v>29</v>
      </c>
      <c r="C181" s="9" t="s">
        <v>29</v>
      </c>
      <c r="D181" s="10" t="s">
        <v>25</v>
      </c>
      <c r="E181" s="10">
        <v>2191</v>
      </c>
      <c r="F181" s="5" t="str">
        <f>IF(Dmart_sales_data[[#This Row],[sales]]&gt;3000,"High Sales",IF(Dmart_sales_data[[#This Row],[sales]]&gt;1000,"Medium Sales","Low Sales"))</f>
        <v>Medium Sales</v>
      </c>
      <c r="G181" s="10">
        <v>0.38</v>
      </c>
      <c r="H181" s="10">
        <v>6</v>
      </c>
      <c r="I181" s="11">
        <v>45641</v>
      </c>
      <c r="J181" s="11">
        <v>45643</v>
      </c>
      <c r="K181" s="10" t="s">
        <v>32</v>
      </c>
      <c r="L181" s="10" t="s">
        <v>32</v>
      </c>
      <c r="M181" s="10" t="s">
        <v>26</v>
      </c>
      <c r="N181" s="10">
        <v>336.28</v>
      </c>
      <c r="O181" s="27" t="s">
        <v>17</v>
      </c>
      <c r="P181" s="12" t="s">
        <v>95</v>
      </c>
      <c r="Q181" s="55" t="str">
        <f>IF(AND(Dmart_sales_data[[#This Row],[customer_type2]]="Member",OR(Dmart_sales_data[[#This Row],[payment_mode]]="UPI",Dmart_sales_data[[#This Row],[payment_mode]]="Card")),"yes","No")</f>
        <v>No</v>
      </c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</row>
    <row r="182" spans="1:28" ht="14.25" customHeight="1" x14ac:dyDescent="0.3">
      <c r="A182" s="13" t="s">
        <v>224</v>
      </c>
      <c r="B182" s="14" t="s">
        <v>13</v>
      </c>
      <c r="C182" s="4" t="s">
        <v>13</v>
      </c>
      <c r="D182" s="15" t="s">
        <v>19</v>
      </c>
      <c r="E182" s="15">
        <v>2128.16</v>
      </c>
      <c r="F182" s="5" t="str">
        <f>IF(Dmart_sales_data[[#This Row],[sales]]&gt;3000,"High Sales",IF(Dmart_sales_data[[#This Row],[sales]]&gt;1000,"Medium Sales","Low Sales"))</f>
        <v>Medium Sales</v>
      </c>
      <c r="G182" s="15">
        <v>0.14000000000000001</v>
      </c>
      <c r="H182" s="15">
        <v>1</v>
      </c>
      <c r="I182" s="16">
        <v>45602</v>
      </c>
      <c r="J182" s="16">
        <v>45607</v>
      </c>
      <c r="K182" s="15" t="s">
        <v>20</v>
      </c>
      <c r="L182" s="15" t="s">
        <v>20</v>
      </c>
      <c r="M182" s="15" t="s">
        <v>26</v>
      </c>
      <c r="N182" s="15">
        <v>523.61</v>
      </c>
      <c r="O182" s="27" t="s">
        <v>100</v>
      </c>
      <c r="P182" s="17" t="s">
        <v>65</v>
      </c>
      <c r="Q182" s="55" t="str">
        <f>IF(AND(Dmart_sales_data[[#This Row],[customer_type2]]="Member",OR(Dmart_sales_data[[#This Row],[payment_mode]]="UPI",Dmart_sales_data[[#This Row],[payment_mode]]="Card")),"yes","No")</f>
        <v>No</v>
      </c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</row>
    <row r="183" spans="1:28" ht="14.25" customHeight="1" x14ac:dyDescent="0.3">
      <c r="A183" s="8" t="s">
        <v>225</v>
      </c>
      <c r="B183" s="9" t="s">
        <v>576</v>
      </c>
      <c r="C183" s="9" t="s">
        <v>576</v>
      </c>
      <c r="D183" s="10" t="s">
        <v>34</v>
      </c>
      <c r="E183" s="10">
        <v>3913.59</v>
      </c>
      <c r="F183" s="5" t="str">
        <f>IF(Dmart_sales_data[[#This Row],[sales]]&gt;3000,"High Sales",IF(Dmart_sales_data[[#This Row],[sales]]&gt;1000,"Medium Sales","Low Sales"))</f>
        <v>High Sales</v>
      </c>
      <c r="G183" s="10">
        <v>0.03</v>
      </c>
      <c r="H183" s="10">
        <v>7</v>
      </c>
      <c r="I183" s="11">
        <v>45287</v>
      </c>
      <c r="J183" s="11">
        <v>45290</v>
      </c>
      <c r="K183" s="10" t="s">
        <v>32</v>
      </c>
      <c r="L183" s="10" t="s">
        <v>32</v>
      </c>
      <c r="M183" s="10" t="s">
        <v>16</v>
      </c>
      <c r="N183" s="10">
        <v>235.73</v>
      </c>
      <c r="O183" s="27" t="s">
        <v>41</v>
      </c>
      <c r="P183" s="12" t="s">
        <v>44</v>
      </c>
      <c r="Q183" s="55" t="str">
        <f>IF(AND(Dmart_sales_data[[#This Row],[customer_type2]]="Member",OR(Dmart_sales_data[[#This Row],[payment_mode]]="UPI",Dmart_sales_data[[#This Row],[payment_mode]]="Card")),"yes","No")</f>
        <v>No</v>
      </c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</row>
    <row r="184" spans="1:28" ht="14.25" customHeight="1" x14ac:dyDescent="0.3">
      <c r="A184" s="13" t="s">
        <v>226</v>
      </c>
      <c r="B184" s="14" t="s">
        <v>24</v>
      </c>
      <c r="C184" s="14" t="s">
        <v>24</v>
      </c>
      <c r="D184" s="15" t="s">
        <v>34</v>
      </c>
      <c r="E184" s="15">
        <v>1483.38</v>
      </c>
      <c r="F184" s="5" t="str">
        <f>IF(Dmart_sales_data[[#This Row],[sales]]&gt;3000,"High Sales",IF(Dmart_sales_data[[#This Row],[sales]]&gt;1000,"Medium Sales","Low Sales"))</f>
        <v>Medium Sales</v>
      </c>
      <c r="G184" s="15">
        <v>0.24</v>
      </c>
      <c r="H184" s="15">
        <v>1</v>
      </c>
      <c r="I184" s="16">
        <v>45112</v>
      </c>
      <c r="J184" s="16">
        <v>45118</v>
      </c>
      <c r="K184" s="15" t="s">
        <v>32</v>
      </c>
      <c r="L184" s="15" t="s">
        <v>32</v>
      </c>
      <c r="M184" s="15" t="s">
        <v>16</v>
      </c>
      <c r="N184" s="15">
        <v>350.59</v>
      </c>
      <c r="O184" s="27" t="s">
        <v>17</v>
      </c>
      <c r="P184" s="17" t="s">
        <v>52</v>
      </c>
      <c r="Q184" s="55" t="str">
        <f>IF(AND(Dmart_sales_data[[#This Row],[customer_type2]]="Member",OR(Dmart_sales_data[[#This Row],[payment_mode]]="UPI",Dmart_sales_data[[#This Row],[payment_mode]]="Card")),"yes","No")</f>
        <v>No</v>
      </c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</row>
    <row r="185" spans="1:28" ht="14.25" customHeight="1" x14ac:dyDescent="0.3">
      <c r="A185" s="8" t="s">
        <v>227</v>
      </c>
      <c r="B185" s="9" t="s">
        <v>29</v>
      </c>
      <c r="C185" s="9" t="s">
        <v>29</v>
      </c>
      <c r="D185" s="10" t="s">
        <v>37</v>
      </c>
      <c r="E185" s="10">
        <v>992.34</v>
      </c>
      <c r="F185" s="5" t="str">
        <f>IF(Dmart_sales_data[[#This Row],[sales]]&gt;3000,"High Sales",IF(Dmart_sales_data[[#This Row],[sales]]&gt;1000,"Medium Sales","Low Sales"))</f>
        <v>Low Sales</v>
      </c>
      <c r="G185" s="10">
        <v>0.42</v>
      </c>
      <c r="H185" s="10">
        <v>1</v>
      </c>
      <c r="I185" s="11">
        <v>45246</v>
      </c>
      <c r="J185" s="11">
        <v>45249</v>
      </c>
      <c r="K185" s="10" t="s">
        <v>15</v>
      </c>
      <c r="L185" s="10" t="s">
        <v>15</v>
      </c>
      <c r="M185" s="10" t="s">
        <v>16</v>
      </c>
      <c r="N185" s="10">
        <v>255.64</v>
      </c>
      <c r="O185" s="27" t="s">
        <v>100</v>
      </c>
      <c r="P185" s="12" t="s">
        <v>65</v>
      </c>
      <c r="Q185" s="55" t="str">
        <f>IF(AND(Dmart_sales_data[[#This Row],[customer_type2]]="Member",OR(Dmart_sales_data[[#This Row],[payment_mode]]="UPI",Dmart_sales_data[[#This Row],[payment_mode]]="Card")),"yes","No")</f>
        <v>yes</v>
      </c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</row>
    <row r="186" spans="1:28" ht="14.25" customHeight="1" x14ac:dyDescent="0.3">
      <c r="A186" s="13" t="s">
        <v>228</v>
      </c>
      <c r="B186" s="14" t="s">
        <v>13</v>
      </c>
      <c r="C186" s="4" t="s">
        <v>13</v>
      </c>
      <c r="D186" s="15" t="s">
        <v>14</v>
      </c>
      <c r="E186" s="15">
        <v>2954.82</v>
      </c>
      <c r="F186" s="5" t="str">
        <f>IF(Dmart_sales_data[[#This Row],[sales]]&gt;3000,"High Sales",IF(Dmart_sales_data[[#This Row],[sales]]&gt;1000,"Medium Sales","Low Sales"))</f>
        <v>Medium Sales</v>
      </c>
      <c r="G186" s="15">
        <v>0.13</v>
      </c>
      <c r="H186" s="15">
        <v>4</v>
      </c>
      <c r="I186" s="16">
        <v>45360</v>
      </c>
      <c r="J186" s="16">
        <v>45362</v>
      </c>
      <c r="K186" s="15" t="s">
        <v>15</v>
      </c>
      <c r="L186" s="15" t="s">
        <v>15</v>
      </c>
      <c r="M186" s="15" t="s">
        <v>16</v>
      </c>
      <c r="N186" s="15">
        <v>227.77</v>
      </c>
      <c r="O186" s="27" t="s">
        <v>35</v>
      </c>
      <c r="P186" s="17" t="s">
        <v>58</v>
      </c>
      <c r="Q186" s="55" t="str">
        <f>IF(AND(Dmart_sales_data[[#This Row],[customer_type2]]="Member",OR(Dmart_sales_data[[#This Row],[payment_mode]]="UPI",Dmart_sales_data[[#This Row],[payment_mode]]="Card")),"yes","No")</f>
        <v>yes</v>
      </c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</row>
    <row r="187" spans="1:28" ht="14.25" customHeight="1" x14ac:dyDescent="0.3">
      <c r="A187" s="8" t="s">
        <v>229</v>
      </c>
      <c r="B187" s="9" t="s">
        <v>576</v>
      </c>
      <c r="C187" s="9" t="s">
        <v>576</v>
      </c>
      <c r="D187" s="10" t="s">
        <v>25</v>
      </c>
      <c r="E187" s="10">
        <v>3113.57</v>
      </c>
      <c r="F187" s="5" t="str">
        <f>IF(Dmart_sales_data[[#This Row],[sales]]&gt;3000,"High Sales",IF(Dmart_sales_data[[#This Row],[sales]]&gt;1000,"Medium Sales","Low Sales"))</f>
        <v>High Sales</v>
      </c>
      <c r="G187" s="10">
        <v>0.36</v>
      </c>
      <c r="H187" s="10">
        <v>9</v>
      </c>
      <c r="I187" s="11">
        <v>45560</v>
      </c>
      <c r="J187" s="11">
        <v>45566</v>
      </c>
      <c r="K187" s="10" t="s">
        <v>32</v>
      </c>
      <c r="L187" s="10" t="s">
        <v>32</v>
      </c>
      <c r="M187" s="10" t="s">
        <v>16</v>
      </c>
      <c r="N187" s="10">
        <v>393.92</v>
      </c>
      <c r="O187" s="27" t="s">
        <v>27</v>
      </c>
      <c r="P187" s="12" t="s">
        <v>48</v>
      </c>
      <c r="Q187" s="55" t="str">
        <f>IF(AND(Dmart_sales_data[[#This Row],[customer_type2]]="Member",OR(Dmart_sales_data[[#This Row],[payment_mode]]="UPI",Dmart_sales_data[[#This Row],[payment_mode]]="Card")),"yes","No")</f>
        <v>No</v>
      </c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</row>
    <row r="188" spans="1:28" ht="14.25" customHeight="1" x14ac:dyDescent="0.3">
      <c r="A188" s="13" t="s">
        <v>230</v>
      </c>
      <c r="B188" s="14" t="s">
        <v>24</v>
      </c>
      <c r="C188" s="14" t="s">
        <v>24</v>
      </c>
      <c r="D188" s="15" t="s">
        <v>19</v>
      </c>
      <c r="E188" s="15">
        <v>695.76</v>
      </c>
      <c r="F188" s="5" t="str">
        <f>IF(Dmart_sales_data[[#This Row],[sales]]&gt;3000,"High Sales",IF(Dmart_sales_data[[#This Row],[sales]]&gt;1000,"Medium Sales","Low Sales"))</f>
        <v>Low Sales</v>
      </c>
      <c r="G188" s="15">
        <v>0.2</v>
      </c>
      <c r="H188" s="15">
        <v>8</v>
      </c>
      <c r="I188" s="16">
        <v>45617</v>
      </c>
      <c r="J188" s="16">
        <v>45620</v>
      </c>
      <c r="K188" s="15" t="s">
        <v>15</v>
      </c>
      <c r="L188" s="15" t="s">
        <v>15</v>
      </c>
      <c r="M188" s="15" t="s">
        <v>26</v>
      </c>
      <c r="N188" s="15">
        <v>112.67</v>
      </c>
      <c r="O188" s="27" t="s">
        <v>100</v>
      </c>
      <c r="P188" s="17" t="s">
        <v>63</v>
      </c>
      <c r="Q188" s="55" t="str">
        <f>IF(AND(Dmart_sales_data[[#This Row],[customer_type2]]="Member",OR(Dmart_sales_data[[#This Row],[payment_mode]]="UPI",Dmart_sales_data[[#This Row],[payment_mode]]="Card")),"yes","No")</f>
        <v>No</v>
      </c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</row>
    <row r="189" spans="1:28" ht="14.25" customHeight="1" x14ac:dyDescent="0.3">
      <c r="A189" s="8" t="s">
        <v>231</v>
      </c>
      <c r="B189" s="9" t="s">
        <v>29</v>
      </c>
      <c r="C189" s="9" t="s">
        <v>29</v>
      </c>
      <c r="D189" s="10" t="s">
        <v>34</v>
      </c>
      <c r="E189" s="10">
        <v>112.1</v>
      </c>
      <c r="F189" s="5" t="str">
        <f>IF(Dmart_sales_data[[#This Row],[sales]]&gt;3000,"High Sales",IF(Dmart_sales_data[[#This Row],[sales]]&gt;1000,"Medium Sales","Low Sales"))</f>
        <v>Low Sales</v>
      </c>
      <c r="G189" s="10">
        <v>0.03</v>
      </c>
      <c r="H189" s="10">
        <v>3</v>
      </c>
      <c r="I189" s="11">
        <v>45570</v>
      </c>
      <c r="J189" s="11">
        <v>45573</v>
      </c>
      <c r="K189" s="10" t="s">
        <v>20</v>
      </c>
      <c r="L189" s="10" t="s">
        <v>20</v>
      </c>
      <c r="M189" s="10" t="s">
        <v>16</v>
      </c>
      <c r="N189" s="10">
        <v>27.01</v>
      </c>
      <c r="O189" s="27" t="s">
        <v>100</v>
      </c>
      <c r="P189" s="12" t="s">
        <v>65</v>
      </c>
      <c r="Q189" s="55" t="str">
        <f>IF(AND(Dmart_sales_data[[#This Row],[customer_type2]]="Member",OR(Dmart_sales_data[[#This Row],[payment_mode]]="UPI",Dmart_sales_data[[#This Row],[payment_mode]]="Card")),"yes","No")</f>
        <v>No</v>
      </c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</row>
    <row r="190" spans="1:28" ht="14.25" customHeight="1" x14ac:dyDescent="0.3">
      <c r="A190" s="13" t="s">
        <v>232</v>
      </c>
      <c r="B190" s="14" t="s">
        <v>13</v>
      </c>
      <c r="C190" s="4" t="s">
        <v>13</v>
      </c>
      <c r="D190" s="15" t="s">
        <v>37</v>
      </c>
      <c r="E190" s="15">
        <v>4596.4799999999996</v>
      </c>
      <c r="F190" s="5" t="str">
        <f>IF(Dmart_sales_data[[#This Row],[sales]]&gt;3000,"High Sales",IF(Dmart_sales_data[[#This Row],[sales]]&gt;1000,"Medium Sales","Low Sales"))</f>
        <v>High Sales</v>
      </c>
      <c r="G190" s="15">
        <v>0.15</v>
      </c>
      <c r="H190" s="15">
        <v>6</v>
      </c>
      <c r="I190" s="16">
        <v>45226</v>
      </c>
      <c r="J190" s="16">
        <v>45233</v>
      </c>
      <c r="K190" s="15" t="s">
        <v>15</v>
      </c>
      <c r="L190" s="15" t="s">
        <v>15</v>
      </c>
      <c r="M190" s="15" t="s">
        <v>16</v>
      </c>
      <c r="N190" s="15">
        <v>838.45</v>
      </c>
      <c r="O190" s="27" t="s">
        <v>27</v>
      </c>
      <c r="P190" s="17" t="s">
        <v>27</v>
      </c>
      <c r="Q190" s="55" t="str">
        <f>IF(AND(Dmart_sales_data[[#This Row],[customer_type2]]="Member",OR(Dmart_sales_data[[#This Row],[payment_mode]]="UPI",Dmart_sales_data[[#This Row],[payment_mode]]="Card")),"yes","No")</f>
        <v>yes</v>
      </c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</row>
    <row r="191" spans="1:28" ht="14.25" customHeight="1" x14ac:dyDescent="0.3">
      <c r="A191" s="8" t="s">
        <v>233</v>
      </c>
      <c r="B191" s="9" t="s">
        <v>576</v>
      </c>
      <c r="C191" s="9" t="s">
        <v>576</v>
      </c>
      <c r="D191" s="10" t="s">
        <v>14</v>
      </c>
      <c r="E191" s="10">
        <v>490.22</v>
      </c>
      <c r="F191" s="5" t="str">
        <f>IF(Dmart_sales_data[[#This Row],[sales]]&gt;3000,"High Sales",IF(Dmart_sales_data[[#This Row],[sales]]&gt;1000,"Medium Sales","Low Sales"))</f>
        <v>Low Sales</v>
      </c>
      <c r="G191" s="10">
        <v>0.16</v>
      </c>
      <c r="H191" s="10">
        <v>1</v>
      </c>
      <c r="I191" s="11">
        <v>45456</v>
      </c>
      <c r="J191" s="11">
        <v>45463</v>
      </c>
      <c r="K191" s="10" t="s">
        <v>20</v>
      </c>
      <c r="L191" s="10" t="s">
        <v>20</v>
      </c>
      <c r="M191" s="10" t="s">
        <v>16</v>
      </c>
      <c r="N191" s="10">
        <v>101.89</v>
      </c>
      <c r="O191" s="27" t="s">
        <v>35</v>
      </c>
      <c r="P191" s="12" t="s">
        <v>58</v>
      </c>
      <c r="Q191" s="55" t="str">
        <f>IF(AND(Dmart_sales_data[[#This Row],[customer_type2]]="Member",OR(Dmart_sales_data[[#This Row],[payment_mode]]="UPI",Dmart_sales_data[[#This Row],[payment_mode]]="Card")),"yes","No")</f>
        <v>No</v>
      </c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</row>
    <row r="192" spans="1:28" ht="14.25" customHeight="1" x14ac:dyDescent="0.3">
      <c r="A192" s="13" t="s">
        <v>234</v>
      </c>
      <c r="B192" s="14" t="s">
        <v>24</v>
      </c>
      <c r="C192" s="14" t="s">
        <v>24</v>
      </c>
      <c r="D192" s="15" t="s">
        <v>14</v>
      </c>
      <c r="E192" s="15">
        <v>4499.55</v>
      </c>
      <c r="F192" s="5" t="str">
        <f>IF(Dmart_sales_data[[#This Row],[sales]]&gt;3000,"High Sales",IF(Dmart_sales_data[[#This Row],[sales]]&gt;1000,"Medium Sales","Low Sales"))</f>
        <v>High Sales</v>
      </c>
      <c r="G192" s="15">
        <v>0.45</v>
      </c>
      <c r="H192" s="15">
        <v>1</v>
      </c>
      <c r="I192" s="16">
        <v>44944</v>
      </c>
      <c r="J192" s="16">
        <v>44950</v>
      </c>
      <c r="K192" s="15" t="s">
        <v>15</v>
      </c>
      <c r="L192" s="15" t="s">
        <v>15</v>
      </c>
      <c r="M192" s="15" t="s">
        <v>26</v>
      </c>
      <c r="N192" s="15">
        <v>639.71</v>
      </c>
      <c r="O192" s="27" t="s">
        <v>100</v>
      </c>
      <c r="P192" s="17" t="s">
        <v>65</v>
      </c>
      <c r="Q192" s="55" t="str">
        <f>IF(AND(Dmart_sales_data[[#This Row],[customer_type2]]="Member",OR(Dmart_sales_data[[#This Row],[payment_mode]]="UPI",Dmart_sales_data[[#This Row],[payment_mode]]="Card")),"yes","No")</f>
        <v>No</v>
      </c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</row>
    <row r="193" spans="1:28" ht="14.25" customHeight="1" x14ac:dyDescent="0.3">
      <c r="A193" s="8" t="s">
        <v>235</v>
      </c>
      <c r="B193" s="9" t="s">
        <v>29</v>
      </c>
      <c r="C193" s="9" t="s">
        <v>29</v>
      </c>
      <c r="D193" s="10" t="s">
        <v>19</v>
      </c>
      <c r="E193" s="10">
        <v>2056.15</v>
      </c>
      <c r="F193" s="5" t="str">
        <f>IF(Dmart_sales_data[[#This Row],[sales]]&gt;3000,"High Sales",IF(Dmart_sales_data[[#This Row],[sales]]&gt;1000,"Medium Sales","Low Sales"))</f>
        <v>Medium Sales</v>
      </c>
      <c r="G193" s="10">
        <v>0.49</v>
      </c>
      <c r="H193" s="10">
        <v>6</v>
      </c>
      <c r="I193" s="11">
        <v>45402</v>
      </c>
      <c r="J193" s="11">
        <v>45406</v>
      </c>
      <c r="K193" s="10" t="s">
        <v>32</v>
      </c>
      <c r="L193" s="10" t="s">
        <v>32</v>
      </c>
      <c r="M193" s="10" t="s">
        <v>26</v>
      </c>
      <c r="N193" s="10">
        <v>549.92999999999995</v>
      </c>
      <c r="O193" s="27" t="s">
        <v>27</v>
      </c>
      <c r="P193" s="12" t="s">
        <v>27</v>
      </c>
      <c r="Q193" s="55" t="str">
        <f>IF(AND(Dmart_sales_data[[#This Row],[customer_type2]]="Member",OR(Dmart_sales_data[[#This Row],[payment_mode]]="UPI",Dmart_sales_data[[#This Row],[payment_mode]]="Card")),"yes","No")</f>
        <v>No</v>
      </c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</row>
    <row r="194" spans="1:28" ht="14.25" customHeight="1" x14ac:dyDescent="0.3">
      <c r="A194" s="13" t="s">
        <v>236</v>
      </c>
      <c r="B194" s="14" t="s">
        <v>13</v>
      </c>
      <c r="C194" s="4" t="s">
        <v>13</v>
      </c>
      <c r="D194" s="15" t="s">
        <v>34</v>
      </c>
      <c r="E194" s="15">
        <v>3299.97</v>
      </c>
      <c r="F194" s="5" t="str">
        <f>IF(Dmart_sales_data[[#This Row],[sales]]&gt;3000,"High Sales",IF(Dmart_sales_data[[#This Row],[sales]]&gt;1000,"Medium Sales","Low Sales"))</f>
        <v>High Sales</v>
      </c>
      <c r="G194" s="15">
        <v>0.1</v>
      </c>
      <c r="H194" s="15">
        <v>5</v>
      </c>
      <c r="I194" s="16">
        <v>44932</v>
      </c>
      <c r="J194" s="16">
        <v>44939</v>
      </c>
      <c r="K194" s="15" t="s">
        <v>20</v>
      </c>
      <c r="L194" s="15" t="s">
        <v>20</v>
      </c>
      <c r="M194" s="15" t="s">
        <v>16</v>
      </c>
      <c r="N194" s="15">
        <v>467.32</v>
      </c>
      <c r="O194" s="27" t="s">
        <v>41</v>
      </c>
      <c r="P194" s="17" t="s">
        <v>68</v>
      </c>
      <c r="Q194" s="55" t="str">
        <f>IF(AND(Dmart_sales_data[[#This Row],[customer_type2]]="Member",OR(Dmart_sales_data[[#This Row],[payment_mode]]="UPI",Dmart_sales_data[[#This Row],[payment_mode]]="Card")),"yes","No")</f>
        <v>No</v>
      </c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</row>
    <row r="195" spans="1:28" ht="14.25" customHeight="1" x14ac:dyDescent="0.3">
      <c r="A195" s="8" t="s">
        <v>237</v>
      </c>
      <c r="B195" s="9" t="s">
        <v>576</v>
      </c>
      <c r="C195" s="9" t="s">
        <v>576</v>
      </c>
      <c r="D195" s="10" t="s">
        <v>19</v>
      </c>
      <c r="E195" s="10">
        <v>1009.51</v>
      </c>
      <c r="F195" s="5" t="str">
        <f>IF(Dmart_sales_data[[#This Row],[sales]]&gt;3000,"High Sales",IF(Dmart_sales_data[[#This Row],[sales]]&gt;1000,"Medium Sales","Low Sales"))</f>
        <v>Medium Sales</v>
      </c>
      <c r="G195" s="10">
        <v>0.22</v>
      </c>
      <c r="H195" s="10">
        <v>6</v>
      </c>
      <c r="I195" s="11">
        <v>45113</v>
      </c>
      <c r="J195" s="11">
        <v>45119</v>
      </c>
      <c r="K195" s="10" t="s">
        <v>15</v>
      </c>
      <c r="L195" s="10" t="s">
        <v>15</v>
      </c>
      <c r="M195" s="10" t="s">
        <v>26</v>
      </c>
      <c r="N195" s="10">
        <v>170.18</v>
      </c>
      <c r="O195" s="27" t="s">
        <v>17</v>
      </c>
      <c r="P195" s="12" t="s">
        <v>17</v>
      </c>
      <c r="Q195" s="55" t="str">
        <f>IF(AND(Dmart_sales_data[[#This Row],[customer_type2]]="Member",OR(Dmart_sales_data[[#This Row],[payment_mode]]="UPI",Dmart_sales_data[[#This Row],[payment_mode]]="Card")),"yes","No")</f>
        <v>No</v>
      </c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</row>
    <row r="196" spans="1:28" ht="14.25" customHeight="1" x14ac:dyDescent="0.3">
      <c r="A196" s="13" t="s">
        <v>238</v>
      </c>
      <c r="B196" s="14" t="s">
        <v>24</v>
      </c>
      <c r="C196" s="14" t="s">
        <v>24</v>
      </c>
      <c r="D196" s="15" t="s">
        <v>19</v>
      </c>
      <c r="E196" s="15">
        <v>4137.1899999999996</v>
      </c>
      <c r="F196" s="5" t="str">
        <f>IF(Dmart_sales_data[[#This Row],[sales]]&gt;3000,"High Sales",IF(Dmart_sales_data[[#This Row],[sales]]&gt;1000,"Medium Sales","Low Sales"))</f>
        <v>High Sales</v>
      </c>
      <c r="G196" s="15">
        <v>0.49</v>
      </c>
      <c r="H196" s="15">
        <v>9</v>
      </c>
      <c r="I196" s="16">
        <v>45629</v>
      </c>
      <c r="J196" s="16">
        <v>45632</v>
      </c>
      <c r="K196" s="15" t="s">
        <v>15</v>
      </c>
      <c r="L196" s="15" t="s">
        <v>15</v>
      </c>
      <c r="M196" s="15" t="s">
        <v>16</v>
      </c>
      <c r="N196" s="15">
        <v>664.13</v>
      </c>
      <c r="O196" s="27" t="s">
        <v>100</v>
      </c>
      <c r="P196" s="17" t="s">
        <v>65</v>
      </c>
      <c r="Q196" s="55" t="str">
        <f>IF(AND(Dmart_sales_data[[#This Row],[customer_type2]]="Member",OR(Dmart_sales_data[[#This Row],[payment_mode]]="UPI",Dmart_sales_data[[#This Row],[payment_mode]]="Card")),"yes","No")</f>
        <v>yes</v>
      </c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</row>
    <row r="197" spans="1:28" ht="14.25" customHeight="1" x14ac:dyDescent="0.3">
      <c r="A197" s="8" t="s">
        <v>239</v>
      </c>
      <c r="B197" s="9" t="s">
        <v>29</v>
      </c>
      <c r="C197" s="9" t="s">
        <v>29</v>
      </c>
      <c r="D197" s="10" t="s">
        <v>37</v>
      </c>
      <c r="E197" s="10">
        <v>982.95</v>
      </c>
      <c r="F197" s="5" t="str">
        <f>IF(Dmart_sales_data[[#This Row],[sales]]&gt;3000,"High Sales",IF(Dmart_sales_data[[#This Row],[sales]]&gt;1000,"Medium Sales","Low Sales"))</f>
        <v>Low Sales</v>
      </c>
      <c r="G197" s="10">
        <v>0.2</v>
      </c>
      <c r="H197" s="10">
        <v>5</v>
      </c>
      <c r="I197" s="11">
        <v>44969</v>
      </c>
      <c r="J197" s="11">
        <v>44973</v>
      </c>
      <c r="K197" s="10" t="s">
        <v>20</v>
      </c>
      <c r="L197" s="10" t="s">
        <v>20</v>
      </c>
      <c r="M197" s="10" t="s">
        <v>26</v>
      </c>
      <c r="N197" s="10">
        <v>242.2</v>
      </c>
      <c r="O197" s="27" t="s">
        <v>27</v>
      </c>
      <c r="P197" s="12" t="s">
        <v>39</v>
      </c>
      <c r="Q197" s="55" t="str">
        <f>IF(AND(Dmart_sales_data[[#This Row],[customer_type2]]="Member",OR(Dmart_sales_data[[#This Row],[payment_mode]]="UPI",Dmart_sales_data[[#This Row],[payment_mode]]="Card")),"yes","No")</f>
        <v>No</v>
      </c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</row>
    <row r="198" spans="1:28" ht="14.25" customHeight="1" x14ac:dyDescent="0.3">
      <c r="A198" s="13" t="s">
        <v>240</v>
      </c>
      <c r="B198" s="14" t="s">
        <v>13</v>
      </c>
      <c r="C198" s="4" t="s">
        <v>13</v>
      </c>
      <c r="D198" s="15" t="s">
        <v>14</v>
      </c>
      <c r="E198" s="15">
        <v>1993.89</v>
      </c>
      <c r="F198" s="5" t="str">
        <f>IF(Dmart_sales_data[[#This Row],[sales]]&gt;3000,"High Sales",IF(Dmart_sales_data[[#This Row],[sales]]&gt;1000,"Medium Sales","Low Sales"))</f>
        <v>Medium Sales</v>
      </c>
      <c r="G198" s="15">
        <v>0.17</v>
      </c>
      <c r="H198" s="15">
        <v>2</v>
      </c>
      <c r="I198" s="16">
        <v>45176</v>
      </c>
      <c r="J198" s="16">
        <v>45182</v>
      </c>
      <c r="K198" s="15" t="s">
        <v>15</v>
      </c>
      <c r="L198" s="15" t="s">
        <v>15</v>
      </c>
      <c r="M198" s="15" t="s">
        <v>16</v>
      </c>
      <c r="N198" s="15">
        <v>508.95</v>
      </c>
      <c r="O198" s="27" t="s">
        <v>17</v>
      </c>
      <c r="P198" s="17" t="s">
        <v>52</v>
      </c>
      <c r="Q198" s="55" t="str">
        <f>IF(AND(Dmart_sales_data[[#This Row],[customer_type2]]="Member",OR(Dmart_sales_data[[#This Row],[payment_mode]]="UPI",Dmart_sales_data[[#This Row],[payment_mode]]="Card")),"yes","No")</f>
        <v>yes</v>
      </c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</row>
    <row r="199" spans="1:28" ht="14.25" customHeight="1" x14ac:dyDescent="0.3">
      <c r="A199" s="8" t="s">
        <v>241</v>
      </c>
      <c r="B199" s="9" t="s">
        <v>576</v>
      </c>
      <c r="C199" s="9" t="s">
        <v>576</v>
      </c>
      <c r="D199" s="10" t="s">
        <v>25</v>
      </c>
      <c r="E199" s="10">
        <v>1266.33</v>
      </c>
      <c r="F199" s="5" t="str">
        <f>IF(Dmart_sales_data[[#This Row],[sales]]&gt;3000,"High Sales",IF(Dmart_sales_data[[#This Row],[sales]]&gt;1000,"Medium Sales","Low Sales"))</f>
        <v>Medium Sales</v>
      </c>
      <c r="G199" s="10">
        <v>0.05</v>
      </c>
      <c r="H199" s="10">
        <v>1</v>
      </c>
      <c r="I199" s="11">
        <v>45123</v>
      </c>
      <c r="J199" s="11">
        <v>45127</v>
      </c>
      <c r="K199" s="10" t="s">
        <v>32</v>
      </c>
      <c r="L199" s="10" t="s">
        <v>32</v>
      </c>
      <c r="M199" s="10" t="s">
        <v>21</v>
      </c>
      <c r="N199" s="10">
        <v>350.09</v>
      </c>
      <c r="O199" s="27" t="s">
        <v>79</v>
      </c>
      <c r="P199" s="12" t="s">
        <v>79</v>
      </c>
      <c r="Q199" s="55" t="str">
        <f>IF(AND(Dmart_sales_data[[#This Row],[customer_type2]]="Member",OR(Dmart_sales_data[[#This Row],[payment_mode]]="UPI",Dmart_sales_data[[#This Row],[payment_mode]]="Card")),"yes","No")</f>
        <v>No</v>
      </c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</row>
    <row r="200" spans="1:28" ht="14.25" customHeight="1" x14ac:dyDescent="0.3">
      <c r="A200" s="13" t="s">
        <v>242</v>
      </c>
      <c r="B200" s="14" t="s">
        <v>24</v>
      </c>
      <c r="C200" s="14" t="s">
        <v>24</v>
      </c>
      <c r="D200" s="15" t="s">
        <v>14</v>
      </c>
      <c r="E200" s="15">
        <v>4203.78</v>
      </c>
      <c r="F200" s="5" t="str">
        <f>IF(Dmart_sales_data[[#This Row],[sales]]&gt;3000,"High Sales",IF(Dmart_sales_data[[#This Row],[sales]]&gt;1000,"Medium Sales","Low Sales"))</f>
        <v>High Sales</v>
      </c>
      <c r="G200" s="15">
        <v>0.38</v>
      </c>
      <c r="H200" s="15">
        <v>2</v>
      </c>
      <c r="I200" s="16">
        <v>45129</v>
      </c>
      <c r="J200" s="16">
        <v>45135</v>
      </c>
      <c r="K200" s="15" t="s">
        <v>20</v>
      </c>
      <c r="L200" s="15" t="s">
        <v>20</v>
      </c>
      <c r="M200" s="15" t="s">
        <v>26</v>
      </c>
      <c r="N200" s="15">
        <v>451.8</v>
      </c>
      <c r="O200" s="27" t="s">
        <v>35</v>
      </c>
      <c r="P200" s="17" t="s">
        <v>30</v>
      </c>
      <c r="Q200" s="55" t="str">
        <f>IF(AND(Dmart_sales_data[[#This Row],[customer_type2]]="Member",OR(Dmart_sales_data[[#This Row],[payment_mode]]="UPI",Dmart_sales_data[[#This Row],[payment_mode]]="Card")),"yes","No")</f>
        <v>No</v>
      </c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</row>
    <row r="201" spans="1:28" ht="14.25" customHeight="1" x14ac:dyDescent="0.3">
      <c r="A201" s="8" t="s">
        <v>243</v>
      </c>
      <c r="B201" s="9" t="s">
        <v>29</v>
      </c>
      <c r="C201" s="9" t="s">
        <v>29</v>
      </c>
      <c r="D201" s="10" t="s">
        <v>14</v>
      </c>
      <c r="E201" s="10">
        <v>4305.8500000000004</v>
      </c>
      <c r="F201" s="5" t="str">
        <f>IF(Dmart_sales_data[[#This Row],[sales]]&gt;3000,"High Sales",IF(Dmart_sales_data[[#This Row],[sales]]&gt;1000,"Medium Sales","Low Sales"))</f>
        <v>High Sales</v>
      </c>
      <c r="G201" s="10">
        <v>0.22</v>
      </c>
      <c r="H201" s="10">
        <v>8</v>
      </c>
      <c r="I201" s="11">
        <v>45115</v>
      </c>
      <c r="J201" s="11">
        <v>45117</v>
      </c>
      <c r="K201" s="10" t="s">
        <v>32</v>
      </c>
      <c r="L201" s="10" t="s">
        <v>32</v>
      </c>
      <c r="M201" s="10" t="s">
        <v>21</v>
      </c>
      <c r="N201" s="10">
        <v>1195.98</v>
      </c>
      <c r="O201" s="27" t="s">
        <v>41</v>
      </c>
      <c r="P201" s="12" t="s">
        <v>41</v>
      </c>
      <c r="Q201" s="55" t="str">
        <f>IF(AND(Dmart_sales_data[[#This Row],[customer_type2]]="Member",OR(Dmart_sales_data[[#This Row],[payment_mode]]="UPI",Dmart_sales_data[[#This Row],[payment_mode]]="Card")),"yes","No")</f>
        <v>No</v>
      </c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</row>
    <row r="202" spans="1:28" ht="14.25" customHeight="1" x14ac:dyDescent="0.3">
      <c r="A202" s="13" t="s">
        <v>244</v>
      </c>
      <c r="B202" s="14" t="s">
        <v>13</v>
      </c>
      <c r="C202" s="4" t="s">
        <v>13</v>
      </c>
      <c r="D202" s="15" t="s">
        <v>37</v>
      </c>
      <c r="E202" s="15">
        <v>1922.94</v>
      </c>
      <c r="F202" s="5" t="str">
        <f>IF(Dmart_sales_data[[#This Row],[sales]]&gt;3000,"High Sales",IF(Dmart_sales_data[[#This Row],[sales]]&gt;1000,"Medium Sales","Low Sales"))</f>
        <v>Medium Sales</v>
      </c>
      <c r="G202" s="15">
        <v>0.32</v>
      </c>
      <c r="H202" s="15">
        <v>1</v>
      </c>
      <c r="I202" s="16">
        <v>45399</v>
      </c>
      <c r="J202" s="16">
        <v>45406</v>
      </c>
      <c r="K202" s="15" t="s">
        <v>20</v>
      </c>
      <c r="L202" s="15" t="s">
        <v>20</v>
      </c>
      <c r="M202" s="15" t="s">
        <v>26</v>
      </c>
      <c r="N202" s="15">
        <v>235.46</v>
      </c>
      <c r="O202" s="27" t="s">
        <v>41</v>
      </c>
      <c r="P202" s="17" t="s">
        <v>68</v>
      </c>
      <c r="Q202" s="55" t="str">
        <f>IF(AND(Dmart_sales_data[[#This Row],[customer_type2]]="Member",OR(Dmart_sales_data[[#This Row],[payment_mode]]="UPI",Dmart_sales_data[[#This Row],[payment_mode]]="Card")),"yes","No")</f>
        <v>No</v>
      </c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</row>
    <row r="203" spans="1:28" ht="14.25" customHeight="1" x14ac:dyDescent="0.3">
      <c r="A203" s="8" t="s">
        <v>245</v>
      </c>
      <c r="B203" s="9" t="s">
        <v>576</v>
      </c>
      <c r="C203" s="9" t="s">
        <v>576</v>
      </c>
      <c r="D203" s="10" t="s">
        <v>25</v>
      </c>
      <c r="E203" s="10">
        <v>1606.15</v>
      </c>
      <c r="F203" s="5" t="str">
        <f>IF(Dmart_sales_data[[#This Row],[sales]]&gt;3000,"High Sales",IF(Dmart_sales_data[[#This Row],[sales]]&gt;1000,"Medium Sales","Low Sales"))</f>
        <v>Medium Sales</v>
      </c>
      <c r="G203" s="10">
        <v>0.25</v>
      </c>
      <c r="H203" s="10">
        <v>6</v>
      </c>
      <c r="I203" s="11">
        <v>45199</v>
      </c>
      <c r="J203" s="11">
        <v>45203</v>
      </c>
      <c r="K203" s="10" t="s">
        <v>20</v>
      </c>
      <c r="L203" s="10" t="s">
        <v>20</v>
      </c>
      <c r="M203" s="10" t="s">
        <v>21</v>
      </c>
      <c r="N203" s="10">
        <v>432.87</v>
      </c>
      <c r="O203" s="27" t="s">
        <v>100</v>
      </c>
      <c r="P203" s="12" t="s">
        <v>100</v>
      </c>
      <c r="Q203" s="55" t="str">
        <f>IF(AND(Dmart_sales_data[[#This Row],[customer_type2]]="Member",OR(Dmart_sales_data[[#This Row],[payment_mode]]="UPI",Dmart_sales_data[[#This Row],[payment_mode]]="Card")),"yes","No")</f>
        <v>No</v>
      </c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</row>
    <row r="204" spans="1:28" ht="14.25" customHeight="1" x14ac:dyDescent="0.3">
      <c r="A204" s="13" t="s">
        <v>246</v>
      </c>
      <c r="B204" s="14" t="s">
        <v>24</v>
      </c>
      <c r="C204" s="14" t="s">
        <v>24</v>
      </c>
      <c r="D204" s="15" t="s">
        <v>34</v>
      </c>
      <c r="E204" s="15">
        <v>3890.47</v>
      </c>
      <c r="F204" s="5" t="str">
        <f>IF(Dmart_sales_data[[#This Row],[sales]]&gt;3000,"High Sales",IF(Dmart_sales_data[[#This Row],[sales]]&gt;1000,"Medium Sales","Low Sales"))</f>
        <v>High Sales</v>
      </c>
      <c r="G204" s="15">
        <v>0.09</v>
      </c>
      <c r="H204" s="15">
        <v>5</v>
      </c>
      <c r="I204" s="16">
        <v>45616</v>
      </c>
      <c r="J204" s="16">
        <v>45621</v>
      </c>
      <c r="K204" s="15" t="s">
        <v>20</v>
      </c>
      <c r="L204" s="15" t="s">
        <v>20</v>
      </c>
      <c r="M204" s="15" t="s">
        <v>26</v>
      </c>
      <c r="N204" s="15">
        <v>1028.18</v>
      </c>
      <c r="O204" s="27" t="s">
        <v>79</v>
      </c>
      <c r="P204" s="17" t="s">
        <v>22</v>
      </c>
      <c r="Q204" s="55" t="str">
        <f>IF(AND(Dmart_sales_data[[#This Row],[customer_type2]]="Member",OR(Dmart_sales_data[[#This Row],[payment_mode]]="UPI",Dmart_sales_data[[#This Row],[payment_mode]]="Card")),"yes","No")</f>
        <v>No</v>
      </c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</row>
    <row r="205" spans="1:28" ht="14.25" customHeight="1" x14ac:dyDescent="0.3">
      <c r="A205" s="8" t="s">
        <v>247</v>
      </c>
      <c r="B205" s="9" t="s">
        <v>29</v>
      </c>
      <c r="C205" s="9" t="s">
        <v>29</v>
      </c>
      <c r="D205" s="10" t="s">
        <v>25</v>
      </c>
      <c r="E205" s="10">
        <v>4404.71</v>
      </c>
      <c r="F205" s="5" t="str">
        <f>IF(Dmart_sales_data[[#This Row],[sales]]&gt;3000,"High Sales",IF(Dmart_sales_data[[#This Row],[sales]]&gt;1000,"Medium Sales","Low Sales"))</f>
        <v>High Sales</v>
      </c>
      <c r="G205" s="10">
        <v>0.09</v>
      </c>
      <c r="H205" s="10">
        <v>9</v>
      </c>
      <c r="I205" s="11">
        <v>45016</v>
      </c>
      <c r="J205" s="11">
        <v>45017</v>
      </c>
      <c r="K205" s="10" t="s">
        <v>20</v>
      </c>
      <c r="L205" s="10" t="s">
        <v>20</v>
      </c>
      <c r="M205" s="10" t="s">
        <v>26</v>
      </c>
      <c r="N205" s="10">
        <v>721</v>
      </c>
      <c r="O205" s="27" t="s">
        <v>17</v>
      </c>
      <c r="P205" s="12" t="s">
        <v>52</v>
      </c>
      <c r="Q205" s="55" t="str">
        <f>IF(AND(Dmart_sales_data[[#This Row],[customer_type2]]="Member",OR(Dmart_sales_data[[#This Row],[payment_mode]]="UPI",Dmart_sales_data[[#This Row],[payment_mode]]="Card")),"yes","No")</f>
        <v>No</v>
      </c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</row>
    <row r="206" spans="1:28" ht="14.25" customHeight="1" x14ac:dyDescent="0.3">
      <c r="A206" s="13" t="s">
        <v>248</v>
      </c>
      <c r="B206" s="14" t="s">
        <v>13</v>
      </c>
      <c r="C206" s="4" t="s">
        <v>13</v>
      </c>
      <c r="D206" s="15" t="s">
        <v>34</v>
      </c>
      <c r="E206" s="15">
        <v>3157.7</v>
      </c>
      <c r="F206" s="5" t="str">
        <f>IF(Dmart_sales_data[[#This Row],[sales]]&gt;3000,"High Sales",IF(Dmart_sales_data[[#This Row],[sales]]&gt;1000,"Medium Sales","Low Sales"))</f>
        <v>High Sales</v>
      </c>
      <c r="G206" s="15">
        <v>0.47</v>
      </c>
      <c r="H206" s="15">
        <v>4</v>
      </c>
      <c r="I206" s="16">
        <v>45196</v>
      </c>
      <c r="J206" s="16">
        <v>45203</v>
      </c>
      <c r="K206" s="15" t="s">
        <v>32</v>
      </c>
      <c r="L206" s="15" t="s">
        <v>32</v>
      </c>
      <c r="M206" s="15" t="s">
        <v>16</v>
      </c>
      <c r="N206" s="15">
        <v>788.19</v>
      </c>
      <c r="O206" s="27" t="s">
        <v>100</v>
      </c>
      <c r="P206" s="17" t="s">
        <v>65</v>
      </c>
      <c r="Q206" s="55" t="str">
        <f>IF(AND(Dmart_sales_data[[#This Row],[customer_type2]]="Member",OR(Dmart_sales_data[[#This Row],[payment_mode]]="UPI",Dmart_sales_data[[#This Row],[payment_mode]]="Card")),"yes","No")</f>
        <v>No</v>
      </c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</row>
    <row r="207" spans="1:28" ht="14.25" customHeight="1" x14ac:dyDescent="0.3">
      <c r="A207" s="8" t="s">
        <v>249</v>
      </c>
      <c r="B207" s="9" t="s">
        <v>576</v>
      </c>
      <c r="C207" s="9" t="s">
        <v>576</v>
      </c>
      <c r="D207" s="10" t="s">
        <v>25</v>
      </c>
      <c r="E207" s="10">
        <v>4644.28</v>
      </c>
      <c r="F207" s="5" t="str">
        <f>IF(Dmart_sales_data[[#This Row],[sales]]&gt;3000,"High Sales",IF(Dmart_sales_data[[#This Row],[sales]]&gt;1000,"Medium Sales","Low Sales"))</f>
        <v>High Sales</v>
      </c>
      <c r="G207" s="10">
        <v>0.44</v>
      </c>
      <c r="H207" s="10">
        <v>5</v>
      </c>
      <c r="I207" s="11">
        <v>45477</v>
      </c>
      <c r="J207" s="11">
        <v>45481</v>
      </c>
      <c r="K207" s="10" t="s">
        <v>32</v>
      </c>
      <c r="L207" s="10" t="s">
        <v>32</v>
      </c>
      <c r="M207" s="10" t="s">
        <v>26</v>
      </c>
      <c r="N207" s="10">
        <v>1095.22</v>
      </c>
      <c r="O207" s="27" t="s">
        <v>100</v>
      </c>
      <c r="P207" s="12" t="s">
        <v>63</v>
      </c>
      <c r="Q207" s="55" t="str">
        <f>IF(AND(Dmart_sales_data[[#This Row],[customer_type2]]="Member",OR(Dmart_sales_data[[#This Row],[payment_mode]]="UPI",Dmart_sales_data[[#This Row],[payment_mode]]="Card")),"yes","No")</f>
        <v>No</v>
      </c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</row>
    <row r="208" spans="1:28" ht="14.25" customHeight="1" x14ac:dyDescent="0.3">
      <c r="A208" s="13" t="s">
        <v>250</v>
      </c>
      <c r="B208" s="14" t="s">
        <v>24</v>
      </c>
      <c r="C208" s="14" t="s">
        <v>24</v>
      </c>
      <c r="D208" s="15" t="s">
        <v>19</v>
      </c>
      <c r="E208" s="15">
        <v>1976.91</v>
      </c>
      <c r="F208" s="5" t="str">
        <f>IF(Dmart_sales_data[[#This Row],[sales]]&gt;3000,"High Sales",IF(Dmart_sales_data[[#This Row],[sales]]&gt;1000,"Medium Sales","Low Sales"))</f>
        <v>Medium Sales</v>
      </c>
      <c r="G208" s="15">
        <v>0.31</v>
      </c>
      <c r="H208" s="15">
        <v>5</v>
      </c>
      <c r="I208" s="16">
        <v>45046</v>
      </c>
      <c r="J208" s="16">
        <v>45051</v>
      </c>
      <c r="K208" s="15" t="s">
        <v>20</v>
      </c>
      <c r="L208" s="15" t="s">
        <v>20</v>
      </c>
      <c r="M208" s="15" t="s">
        <v>26</v>
      </c>
      <c r="N208" s="15">
        <v>121.08</v>
      </c>
      <c r="O208" s="27" t="s">
        <v>41</v>
      </c>
      <c r="P208" s="17" t="s">
        <v>68</v>
      </c>
      <c r="Q208" s="55" t="str">
        <f>IF(AND(Dmart_sales_data[[#This Row],[customer_type2]]="Member",OR(Dmart_sales_data[[#This Row],[payment_mode]]="UPI",Dmart_sales_data[[#This Row],[payment_mode]]="Card")),"yes","No")</f>
        <v>No</v>
      </c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</row>
    <row r="209" spans="1:28" ht="14.25" customHeight="1" x14ac:dyDescent="0.3">
      <c r="A209" s="8" t="s">
        <v>251</v>
      </c>
      <c r="B209" s="9" t="s">
        <v>29</v>
      </c>
      <c r="C209" s="9" t="s">
        <v>29</v>
      </c>
      <c r="D209" s="10" t="s">
        <v>25</v>
      </c>
      <c r="E209" s="10">
        <v>844.24</v>
      </c>
      <c r="F209" s="5" t="str">
        <f>IF(Dmart_sales_data[[#This Row],[sales]]&gt;3000,"High Sales",IF(Dmart_sales_data[[#This Row],[sales]]&gt;1000,"Medium Sales","Low Sales"))</f>
        <v>Low Sales</v>
      </c>
      <c r="G209" s="10">
        <v>0</v>
      </c>
      <c r="H209" s="10">
        <v>2</v>
      </c>
      <c r="I209" s="11">
        <v>45493</v>
      </c>
      <c r="J209" s="11">
        <v>45498</v>
      </c>
      <c r="K209" s="10" t="s">
        <v>20</v>
      </c>
      <c r="L209" s="10" t="s">
        <v>20</v>
      </c>
      <c r="M209" s="10" t="s">
        <v>21</v>
      </c>
      <c r="N209" s="10">
        <v>47.74</v>
      </c>
      <c r="O209" s="27" t="s">
        <v>27</v>
      </c>
      <c r="P209" s="12" t="s">
        <v>48</v>
      </c>
      <c r="Q209" s="55" t="str">
        <f>IF(AND(Dmart_sales_data[[#This Row],[customer_type2]]="Member",OR(Dmart_sales_data[[#This Row],[payment_mode]]="UPI",Dmart_sales_data[[#This Row],[payment_mode]]="Card")),"yes","No")</f>
        <v>No</v>
      </c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</row>
    <row r="210" spans="1:28" ht="14.25" customHeight="1" x14ac:dyDescent="0.3">
      <c r="A210" s="13" t="s">
        <v>252</v>
      </c>
      <c r="B210" s="14" t="s">
        <v>13</v>
      </c>
      <c r="C210" s="4" t="s">
        <v>13</v>
      </c>
      <c r="D210" s="15" t="s">
        <v>37</v>
      </c>
      <c r="E210" s="15">
        <v>980.25</v>
      </c>
      <c r="F210" s="5" t="str">
        <f>IF(Dmart_sales_data[[#This Row],[sales]]&gt;3000,"High Sales",IF(Dmart_sales_data[[#This Row],[sales]]&gt;1000,"Medium Sales","Low Sales"))</f>
        <v>Low Sales</v>
      </c>
      <c r="G210" s="15">
        <v>0.22</v>
      </c>
      <c r="H210" s="15">
        <v>2</v>
      </c>
      <c r="I210" s="16">
        <v>45166</v>
      </c>
      <c r="J210" s="16">
        <v>45169</v>
      </c>
      <c r="K210" s="15" t="s">
        <v>32</v>
      </c>
      <c r="L210" s="15" t="s">
        <v>32</v>
      </c>
      <c r="M210" s="15" t="s">
        <v>21</v>
      </c>
      <c r="N210" s="15">
        <v>70.55</v>
      </c>
      <c r="O210" s="27" t="s">
        <v>27</v>
      </c>
      <c r="P210" s="17" t="s">
        <v>39</v>
      </c>
      <c r="Q210" s="55" t="str">
        <f>IF(AND(Dmart_sales_data[[#This Row],[customer_type2]]="Member",OR(Dmart_sales_data[[#This Row],[payment_mode]]="UPI",Dmart_sales_data[[#This Row],[payment_mode]]="Card")),"yes","No")</f>
        <v>No</v>
      </c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</row>
    <row r="211" spans="1:28" ht="14.25" customHeight="1" x14ac:dyDescent="0.3">
      <c r="A211" s="8" t="s">
        <v>253</v>
      </c>
      <c r="B211" s="9" t="s">
        <v>576</v>
      </c>
      <c r="C211" s="9" t="s">
        <v>576</v>
      </c>
      <c r="D211" s="10" t="s">
        <v>34</v>
      </c>
      <c r="E211" s="10">
        <v>3382.18</v>
      </c>
      <c r="F211" s="5" t="str">
        <f>IF(Dmart_sales_data[[#This Row],[sales]]&gt;3000,"High Sales",IF(Dmart_sales_data[[#This Row],[sales]]&gt;1000,"Medium Sales","Low Sales"))</f>
        <v>High Sales</v>
      </c>
      <c r="G211" s="10">
        <v>0.27</v>
      </c>
      <c r="H211" s="10">
        <v>9</v>
      </c>
      <c r="I211" s="11">
        <v>45191</v>
      </c>
      <c r="J211" s="11">
        <v>45196</v>
      </c>
      <c r="K211" s="10" t="s">
        <v>20</v>
      </c>
      <c r="L211" s="10" t="s">
        <v>20</v>
      </c>
      <c r="M211" s="10" t="s">
        <v>21</v>
      </c>
      <c r="N211" s="10">
        <v>970.91</v>
      </c>
      <c r="O211" s="27" t="s">
        <v>17</v>
      </c>
      <c r="P211" s="12" t="s">
        <v>17</v>
      </c>
      <c r="Q211" s="55" t="str">
        <f>IF(AND(Dmart_sales_data[[#This Row],[customer_type2]]="Member",OR(Dmart_sales_data[[#This Row],[payment_mode]]="UPI",Dmart_sales_data[[#This Row],[payment_mode]]="Card")),"yes","No")</f>
        <v>No</v>
      </c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</row>
    <row r="212" spans="1:28" ht="14.25" customHeight="1" x14ac:dyDescent="0.3">
      <c r="A212" s="13" t="s">
        <v>254</v>
      </c>
      <c r="B212" s="14" t="s">
        <v>24</v>
      </c>
      <c r="C212" s="14" t="s">
        <v>24</v>
      </c>
      <c r="D212" s="15" t="s">
        <v>14</v>
      </c>
      <c r="E212" s="15">
        <v>2096.88</v>
      </c>
      <c r="F212" s="5" t="str">
        <f>IF(Dmart_sales_data[[#This Row],[sales]]&gt;3000,"High Sales",IF(Dmart_sales_data[[#This Row],[sales]]&gt;1000,"Medium Sales","Low Sales"))</f>
        <v>Medium Sales</v>
      </c>
      <c r="G212" s="15">
        <v>0.22</v>
      </c>
      <c r="H212" s="15">
        <v>3</v>
      </c>
      <c r="I212" s="16">
        <v>45117</v>
      </c>
      <c r="J212" s="16">
        <v>45120</v>
      </c>
      <c r="K212" s="15" t="s">
        <v>20</v>
      </c>
      <c r="L212" s="15" t="s">
        <v>20</v>
      </c>
      <c r="M212" s="15" t="s">
        <v>21</v>
      </c>
      <c r="N212" s="15">
        <v>478.55</v>
      </c>
      <c r="O212" s="27" t="s">
        <v>100</v>
      </c>
      <c r="P212" s="17" t="s">
        <v>65</v>
      </c>
      <c r="Q212" s="55" t="str">
        <f>IF(AND(Dmart_sales_data[[#This Row],[customer_type2]]="Member",OR(Dmart_sales_data[[#This Row],[payment_mode]]="UPI",Dmart_sales_data[[#This Row],[payment_mode]]="Card")),"yes","No")</f>
        <v>No</v>
      </c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</row>
    <row r="213" spans="1:28" ht="14.25" customHeight="1" x14ac:dyDescent="0.3">
      <c r="A213" s="8" t="s">
        <v>255</v>
      </c>
      <c r="B213" s="9" t="s">
        <v>29</v>
      </c>
      <c r="C213" s="9" t="s">
        <v>29</v>
      </c>
      <c r="D213" s="10" t="s">
        <v>37</v>
      </c>
      <c r="E213" s="10">
        <v>865.94</v>
      </c>
      <c r="F213" s="5" t="str">
        <f>IF(Dmart_sales_data[[#This Row],[sales]]&gt;3000,"High Sales",IF(Dmart_sales_data[[#This Row],[sales]]&gt;1000,"Medium Sales","Low Sales"))</f>
        <v>Low Sales</v>
      </c>
      <c r="G213" s="10">
        <v>0.46</v>
      </c>
      <c r="H213" s="10">
        <v>6</v>
      </c>
      <c r="I213" s="11">
        <v>45209</v>
      </c>
      <c r="J213" s="11">
        <v>45214</v>
      </c>
      <c r="K213" s="10" t="s">
        <v>32</v>
      </c>
      <c r="L213" s="10" t="s">
        <v>32</v>
      </c>
      <c r="M213" s="10" t="s">
        <v>16</v>
      </c>
      <c r="N213" s="10">
        <v>133.02000000000001</v>
      </c>
      <c r="O213" s="27" t="s">
        <v>100</v>
      </c>
      <c r="P213" s="12" t="s">
        <v>100</v>
      </c>
      <c r="Q213" s="55" t="str">
        <f>IF(AND(Dmart_sales_data[[#This Row],[customer_type2]]="Member",OR(Dmart_sales_data[[#This Row],[payment_mode]]="UPI",Dmart_sales_data[[#This Row],[payment_mode]]="Card")),"yes","No")</f>
        <v>No</v>
      </c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</row>
    <row r="214" spans="1:28" ht="14.25" customHeight="1" x14ac:dyDescent="0.3">
      <c r="A214" s="13" t="s">
        <v>256</v>
      </c>
      <c r="B214" s="14" t="s">
        <v>13</v>
      </c>
      <c r="C214" s="4" t="s">
        <v>13</v>
      </c>
      <c r="D214" s="15" t="s">
        <v>34</v>
      </c>
      <c r="E214" s="15">
        <v>1531.91</v>
      </c>
      <c r="F214" s="5" t="str">
        <f>IF(Dmart_sales_data[[#This Row],[sales]]&gt;3000,"High Sales",IF(Dmart_sales_data[[#This Row],[sales]]&gt;1000,"Medium Sales","Low Sales"))</f>
        <v>Medium Sales</v>
      </c>
      <c r="G214" s="15">
        <v>0.02</v>
      </c>
      <c r="H214" s="15">
        <v>4</v>
      </c>
      <c r="I214" s="16">
        <v>45601</v>
      </c>
      <c r="J214" s="16">
        <v>45603</v>
      </c>
      <c r="K214" s="15" t="s">
        <v>32</v>
      </c>
      <c r="L214" s="15" t="s">
        <v>32</v>
      </c>
      <c r="M214" s="15" t="s">
        <v>21</v>
      </c>
      <c r="N214" s="15">
        <v>161.16</v>
      </c>
      <c r="O214" s="27" t="s">
        <v>100</v>
      </c>
      <c r="P214" s="17" t="s">
        <v>63</v>
      </c>
      <c r="Q214" s="55" t="str">
        <f>IF(AND(Dmart_sales_data[[#This Row],[customer_type2]]="Member",OR(Dmart_sales_data[[#This Row],[payment_mode]]="UPI",Dmart_sales_data[[#This Row],[payment_mode]]="Card")),"yes","No")</f>
        <v>No</v>
      </c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</row>
    <row r="215" spans="1:28" ht="14.25" customHeight="1" x14ac:dyDescent="0.3">
      <c r="A215" s="8" t="s">
        <v>257</v>
      </c>
      <c r="B215" s="9" t="s">
        <v>576</v>
      </c>
      <c r="C215" s="9" t="s">
        <v>576</v>
      </c>
      <c r="D215" s="10" t="s">
        <v>34</v>
      </c>
      <c r="E215" s="10">
        <v>2699.96</v>
      </c>
      <c r="F215" s="5" t="str">
        <f>IF(Dmart_sales_data[[#This Row],[sales]]&gt;3000,"High Sales",IF(Dmart_sales_data[[#This Row],[sales]]&gt;1000,"Medium Sales","Low Sales"))</f>
        <v>Medium Sales</v>
      </c>
      <c r="G215" s="10">
        <v>0.33</v>
      </c>
      <c r="H215" s="10">
        <v>4</v>
      </c>
      <c r="I215" s="11">
        <v>45390</v>
      </c>
      <c r="J215" s="11">
        <v>45392</v>
      </c>
      <c r="K215" s="10" t="s">
        <v>32</v>
      </c>
      <c r="L215" s="10" t="s">
        <v>32</v>
      </c>
      <c r="M215" s="10" t="s">
        <v>16</v>
      </c>
      <c r="N215" s="10">
        <v>774.75</v>
      </c>
      <c r="O215" s="27" t="s">
        <v>41</v>
      </c>
      <c r="P215" s="12" t="s">
        <v>44</v>
      </c>
      <c r="Q215" s="55" t="str">
        <f>IF(AND(Dmart_sales_data[[#This Row],[customer_type2]]="Member",OR(Dmart_sales_data[[#This Row],[payment_mode]]="UPI",Dmart_sales_data[[#This Row],[payment_mode]]="Card")),"yes","No")</f>
        <v>No</v>
      </c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</row>
    <row r="216" spans="1:28" ht="14.25" customHeight="1" x14ac:dyDescent="0.3">
      <c r="A216" s="13" t="s">
        <v>258</v>
      </c>
      <c r="B216" s="14" t="s">
        <v>24</v>
      </c>
      <c r="C216" s="14" t="s">
        <v>24</v>
      </c>
      <c r="D216" s="15" t="s">
        <v>14</v>
      </c>
      <c r="E216" s="15">
        <v>695.08</v>
      </c>
      <c r="F216" s="5" t="str">
        <f>IF(Dmart_sales_data[[#This Row],[sales]]&gt;3000,"High Sales",IF(Dmart_sales_data[[#This Row],[sales]]&gt;1000,"Medium Sales","Low Sales"))</f>
        <v>Low Sales</v>
      </c>
      <c r="G216" s="15">
        <v>0.16</v>
      </c>
      <c r="H216" s="15">
        <v>5</v>
      </c>
      <c r="I216" s="16">
        <v>45652</v>
      </c>
      <c r="J216" s="16">
        <v>45654</v>
      </c>
      <c r="K216" s="15" t="s">
        <v>15</v>
      </c>
      <c r="L216" s="15" t="s">
        <v>15</v>
      </c>
      <c r="M216" s="15" t="s">
        <v>16</v>
      </c>
      <c r="N216" s="15">
        <v>77.209999999999994</v>
      </c>
      <c r="O216" s="27" t="s">
        <v>27</v>
      </c>
      <c r="P216" s="17" t="s">
        <v>48</v>
      </c>
      <c r="Q216" s="55" t="str">
        <f>IF(AND(Dmart_sales_data[[#This Row],[customer_type2]]="Member",OR(Dmart_sales_data[[#This Row],[payment_mode]]="UPI",Dmart_sales_data[[#This Row],[payment_mode]]="Card")),"yes","No")</f>
        <v>yes</v>
      </c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</row>
    <row r="217" spans="1:28" ht="14.25" customHeight="1" x14ac:dyDescent="0.3">
      <c r="A217" s="8" t="s">
        <v>259</v>
      </c>
      <c r="B217" s="9" t="s">
        <v>29</v>
      </c>
      <c r="C217" s="9" t="s">
        <v>29</v>
      </c>
      <c r="D217" s="10" t="s">
        <v>19</v>
      </c>
      <c r="E217" s="10">
        <v>116.87</v>
      </c>
      <c r="F217" s="5" t="str">
        <f>IF(Dmart_sales_data[[#This Row],[sales]]&gt;3000,"High Sales",IF(Dmart_sales_data[[#This Row],[sales]]&gt;1000,"Medium Sales","Low Sales"))</f>
        <v>Low Sales</v>
      </c>
      <c r="G217" s="10">
        <v>0.28000000000000003</v>
      </c>
      <c r="H217" s="10">
        <v>5</v>
      </c>
      <c r="I217" s="11">
        <v>45016</v>
      </c>
      <c r="J217" s="11">
        <v>45018</v>
      </c>
      <c r="K217" s="10" t="s">
        <v>20</v>
      </c>
      <c r="L217" s="10" t="s">
        <v>20</v>
      </c>
      <c r="M217" s="10" t="s">
        <v>21</v>
      </c>
      <c r="N217" s="10">
        <v>21.73</v>
      </c>
      <c r="O217" s="27" t="s">
        <v>79</v>
      </c>
      <c r="P217" s="12" t="s">
        <v>22</v>
      </c>
      <c r="Q217" s="55" t="str">
        <f>IF(AND(Dmart_sales_data[[#This Row],[customer_type2]]="Member",OR(Dmart_sales_data[[#This Row],[payment_mode]]="UPI",Dmart_sales_data[[#This Row],[payment_mode]]="Card")),"yes","No")</f>
        <v>No</v>
      </c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</row>
    <row r="218" spans="1:28" ht="14.25" customHeight="1" x14ac:dyDescent="0.3">
      <c r="A218" s="13" t="s">
        <v>260</v>
      </c>
      <c r="B218" s="14" t="s">
        <v>13</v>
      </c>
      <c r="C218" s="4" t="s">
        <v>13</v>
      </c>
      <c r="D218" s="15" t="s">
        <v>37</v>
      </c>
      <c r="E218" s="15">
        <v>4594.76</v>
      </c>
      <c r="F218" s="5" t="str">
        <f>IF(Dmart_sales_data[[#This Row],[sales]]&gt;3000,"High Sales",IF(Dmart_sales_data[[#This Row],[sales]]&gt;1000,"Medium Sales","Low Sales"))</f>
        <v>High Sales</v>
      </c>
      <c r="G218" s="15">
        <v>0.33</v>
      </c>
      <c r="H218" s="15">
        <v>7</v>
      </c>
      <c r="I218" s="16">
        <v>45285</v>
      </c>
      <c r="J218" s="16">
        <v>45291</v>
      </c>
      <c r="K218" s="15" t="s">
        <v>32</v>
      </c>
      <c r="L218" s="15" t="s">
        <v>32</v>
      </c>
      <c r="M218" s="15" t="s">
        <v>21</v>
      </c>
      <c r="N218" s="15">
        <v>509.07</v>
      </c>
      <c r="O218" s="27" t="s">
        <v>79</v>
      </c>
      <c r="P218" s="17" t="s">
        <v>55</v>
      </c>
      <c r="Q218" s="55" t="str">
        <f>IF(AND(Dmart_sales_data[[#This Row],[customer_type2]]="Member",OR(Dmart_sales_data[[#This Row],[payment_mode]]="UPI",Dmart_sales_data[[#This Row],[payment_mode]]="Card")),"yes","No")</f>
        <v>No</v>
      </c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</row>
    <row r="219" spans="1:28" ht="14.25" customHeight="1" x14ac:dyDescent="0.3">
      <c r="A219" s="8" t="s">
        <v>261</v>
      </c>
      <c r="B219" s="9" t="s">
        <v>576</v>
      </c>
      <c r="C219" s="9" t="s">
        <v>576</v>
      </c>
      <c r="D219" s="10" t="s">
        <v>14</v>
      </c>
      <c r="E219" s="10">
        <v>1593.82</v>
      </c>
      <c r="F219" s="5" t="str">
        <f>IF(Dmart_sales_data[[#This Row],[sales]]&gt;3000,"High Sales",IF(Dmart_sales_data[[#This Row],[sales]]&gt;1000,"Medium Sales","Low Sales"))</f>
        <v>Medium Sales</v>
      </c>
      <c r="G219" s="10">
        <v>0.22</v>
      </c>
      <c r="H219" s="10">
        <v>7</v>
      </c>
      <c r="I219" s="11">
        <v>45306</v>
      </c>
      <c r="J219" s="11">
        <v>45308</v>
      </c>
      <c r="K219" s="10" t="s">
        <v>20</v>
      </c>
      <c r="L219" s="10" t="s">
        <v>20</v>
      </c>
      <c r="M219" s="10" t="s">
        <v>21</v>
      </c>
      <c r="N219" s="10">
        <v>369.28</v>
      </c>
      <c r="O219" s="27" t="s">
        <v>27</v>
      </c>
      <c r="P219" s="12" t="s">
        <v>39</v>
      </c>
      <c r="Q219" s="55" t="str">
        <f>IF(AND(Dmart_sales_data[[#This Row],[customer_type2]]="Member",OR(Dmart_sales_data[[#This Row],[payment_mode]]="UPI",Dmart_sales_data[[#This Row],[payment_mode]]="Card")),"yes","No")</f>
        <v>No</v>
      </c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</row>
    <row r="220" spans="1:28" ht="14.25" customHeight="1" x14ac:dyDescent="0.3">
      <c r="A220" s="13" t="s">
        <v>262</v>
      </c>
      <c r="B220" s="14" t="s">
        <v>24</v>
      </c>
      <c r="C220" s="14" t="s">
        <v>24</v>
      </c>
      <c r="D220" s="15" t="s">
        <v>14</v>
      </c>
      <c r="E220" s="15">
        <v>1185.3399999999999</v>
      </c>
      <c r="F220" s="5" t="str">
        <f>IF(Dmart_sales_data[[#This Row],[sales]]&gt;3000,"High Sales",IF(Dmart_sales_data[[#This Row],[sales]]&gt;1000,"Medium Sales","Low Sales"))</f>
        <v>Medium Sales</v>
      </c>
      <c r="G220" s="15">
        <v>7.0000000000000007E-2</v>
      </c>
      <c r="H220" s="15">
        <v>1</v>
      </c>
      <c r="I220" s="16">
        <v>45093</v>
      </c>
      <c r="J220" s="16">
        <v>45100</v>
      </c>
      <c r="K220" s="15" t="s">
        <v>15</v>
      </c>
      <c r="L220" s="15" t="s">
        <v>15</v>
      </c>
      <c r="M220" s="15" t="s">
        <v>26</v>
      </c>
      <c r="N220" s="15">
        <v>110.39</v>
      </c>
      <c r="O220" s="27" t="s">
        <v>35</v>
      </c>
      <c r="P220" s="17" t="s">
        <v>58</v>
      </c>
      <c r="Q220" s="55" t="str">
        <f>IF(AND(Dmart_sales_data[[#This Row],[customer_type2]]="Member",OR(Dmart_sales_data[[#This Row],[payment_mode]]="UPI",Dmart_sales_data[[#This Row],[payment_mode]]="Card")),"yes","No")</f>
        <v>No</v>
      </c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</row>
    <row r="221" spans="1:28" ht="14.25" customHeight="1" x14ac:dyDescent="0.3">
      <c r="A221" s="8" t="s">
        <v>263</v>
      </c>
      <c r="B221" s="9" t="s">
        <v>29</v>
      </c>
      <c r="C221" s="9" t="s">
        <v>29</v>
      </c>
      <c r="D221" s="10" t="s">
        <v>19</v>
      </c>
      <c r="E221" s="10">
        <v>3522.56</v>
      </c>
      <c r="F221" s="5" t="str">
        <f>IF(Dmart_sales_data[[#This Row],[sales]]&gt;3000,"High Sales",IF(Dmart_sales_data[[#This Row],[sales]]&gt;1000,"Medium Sales","Low Sales"))</f>
        <v>High Sales</v>
      </c>
      <c r="G221" s="10">
        <v>0.26</v>
      </c>
      <c r="H221" s="10">
        <v>6</v>
      </c>
      <c r="I221" s="11">
        <v>45618</v>
      </c>
      <c r="J221" s="11">
        <v>45625</v>
      </c>
      <c r="K221" s="10" t="s">
        <v>32</v>
      </c>
      <c r="L221" s="10" t="s">
        <v>32</v>
      </c>
      <c r="M221" s="10" t="s">
        <v>21</v>
      </c>
      <c r="N221" s="10">
        <v>700.49</v>
      </c>
      <c r="O221" s="27" t="s">
        <v>41</v>
      </c>
      <c r="P221" s="12" t="s">
        <v>44</v>
      </c>
      <c r="Q221" s="55" t="str">
        <f>IF(AND(Dmart_sales_data[[#This Row],[customer_type2]]="Member",OR(Dmart_sales_data[[#This Row],[payment_mode]]="UPI",Dmart_sales_data[[#This Row],[payment_mode]]="Card")),"yes","No")</f>
        <v>No</v>
      </c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</row>
    <row r="222" spans="1:28" ht="14.25" customHeight="1" x14ac:dyDescent="0.3">
      <c r="A222" s="13" t="s">
        <v>264</v>
      </c>
      <c r="B222" s="14" t="s">
        <v>13</v>
      </c>
      <c r="C222" s="4" t="s">
        <v>13</v>
      </c>
      <c r="D222" s="15" t="s">
        <v>37</v>
      </c>
      <c r="E222" s="15">
        <v>4281.67</v>
      </c>
      <c r="F222" s="5" t="str">
        <f>IF(Dmart_sales_data[[#This Row],[sales]]&gt;3000,"High Sales",IF(Dmart_sales_data[[#This Row],[sales]]&gt;1000,"Medium Sales","Low Sales"))</f>
        <v>High Sales</v>
      </c>
      <c r="G222" s="15">
        <v>0.47</v>
      </c>
      <c r="H222" s="15">
        <v>4</v>
      </c>
      <c r="I222" s="16">
        <v>45542</v>
      </c>
      <c r="J222" s="16">
        <v>45547</v>
      </c>
      <c r="K222" s="15" t="s">
        <v>32</v>
      </c>
      <c r="L222" s="15" t="s">
        <v>32</v>
      </c>
      <c r="M222" s="15" t="s">
        <v>21</v>
      </c>
      <c r="N222" s="15">
        <v>909.46</v>
      </c>
      <c r="O222" s="27" t="s">
        <v>41</v>
      </c>
      <c r="P222" s="17" t="s">
        <v>68</v>
      </c>
      <c r="Q222" s="55" t="str">
        <f>IF(AND(Dmart_sales_data[[#This Row],[customer_type2]]="Member",OR(Dmart_sales_data[[#This Row],[payment_mode]]="UPI",Dmart_sales_data[[#This Row],[payment_mode]]="Card")),"yes","No")</f>
        <v>No</v>
      </c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</row>
    <row r="223" spans="1:28" ht="14.25" customHeight="1" x14ac:dyDescent="0.3">
      <c r="A223" s="8" t="s">
        <v>265</v>
      </c>
      <c r="B223" s="9" t="s">
        <v>576</v>
      </c>
      <c r="C223" s="9" t="s">
        <v>576</v>
      </c>
      <c r="D223" s="10" t="s">
        <v>14</v>
      </c>
      <c r="E223" s="10">
        <v>3198.17</v>
      </c>
      <c r="F223" s="5" t="str">
        <f>IF(Dmart_sales_data[[#This Row],[sales]]&gt;3000,"High Sales",IF(Dmart_sales_data[[#This Row],[sales]]&gt;1000,"Medium Sales","Low Sales"))</f>
        <v>High Sales</v>
      </c>
      <c r="G223" s="10">
        <v>0.27</v>
      </c>
      <c r="H223" s="10">
        <v>2</v>
      </c>
      <c r="I223" s="11">
        <v>45496</v>
      </c>
      <c r="J223" s="11">
        <v>45500</v>
      </c>
      <c r="K223" s="10" t="s">
        <v>20</v>
      </c>
      <c r="L223" s="10" t="s">
        <v>20</v>
      </c>
      <c r="M223" s="10" t="s">
        <v>16</v>
      </c>
      <c r="N223" s="10">
        <v>930.63</v>
      </c>
      <c r="O223" s="27" t="s">
        <v>35</v>
      </c>
      <c r="P223" s="12" t="s">
        <v>30</v>
      </c>
      <c r="Q223" s="55" t="str">
        <f>IF(AND(Dmart_sales_data[[#This Row],[customer_type2]]="Member",OR(Dmart_sales_data[[#This Row],[payment_mode]]="UPI",Dmart_sales_data[[#This Row],[payment_mode]]="Card")),"yes","No")</f>
        <v>No</v>
      </c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</row>
    <row r="224" spans="1:28" ht="14.25" customHeight="1" x14ac:dyDescent="0.3">
      <c r="A224" s="13" t="s">
        <v>266</v>
      </c>
      <c r="B224" s="14" t="s">
        <v>24</v>
      </c>
      <c r="C224" s="14" t="s">
        <v>24</v>
      </c>
      <c r="D224" s="15" t="s">
        <v>19</v>
      </c>
      <c r="E224" s="15">
        <v>1346.97</v>
      </c>
      <c r="F224" s="5" t="str">
        <f>IF(Dmart_sales_data[[#This Row],[sales]]&gt;3000,"High Sales",IF(Dmart_sales_data[[#This Row],[sales]]&gt;1000,"Medium Sales","Low Sales"))</f>
        <v>Medium Sales</v>
      </c>
      <c r="G224" s="15">
        <v>0.06</v>
      </c>
      <c r="H224" s="15">
        <v>6</v>
      </c>
      <c r="I224" s="16">
        <v>45130</v>
      </c>
      <c r="J224" s="16">
        <v>45134</v>
      </c>
      <c r="K224" s="15" t="s">
        <v>20</v>
      </c>
      <c r="L224" s="15" t="s">
        <v>20</v>
      </c>
      <c r="M224" s="15" t="s">
        <v>21</v>
      </c>
      <c r="N224" s="15">
        <v>270.37</v>
      </c>
      <c r="O224" s="27" t="s">
        <v>79</v>
      </c>
      <c r="P224" s="17" t="s">
        <v>55</v>
      </c>
      <c r="Q224" s="55" t="str">
        <f>IF(AND(Dmart_sales_data[[#This Row],[customer_type2]]="Member",OR(Dmart_sales_data[[#This Row],[payment_mode]]="UPI",Dmart_sales_data[[#This Row],[payment_mode]]="Card")),"yes","No")</f>
        <v>No</v>
      </c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</row>
    <row r="225" spans="1:28" ht="14.25" customHeight="1" x14ac:dyDescent="0.3">
      <c r="A225" s="8" t="s">
        <v>267</v>
      </c>
      <c r="B225" s="9" t="s">
        <v>29</v>
      </c>
      <c r="C225" s="9" t="s">
        <v>29</v>
      </c>
      <c r="D225" s="10" t="s">
        <v>37</v>
      </c>
      <c r="E225" s="10">
        <v>4322.0200000000004</v>
      </c>
      <c r="F225" s="5" t="str">
        <f>IF(Dmart_sales_data[[#This Row],[sales]]&gt;3000,"High Sales",IF(Dmart_sales_data[[#This Row],[sales]]&gt;1000,"Medium Sales","Low Sales"))</f>
        <v>High Sales</v>
      </c>
      <c r="G225" s="10">
        <v>0.41</v>
      </c>
      <c r="H225" s="10">
        <v>7</v>
      </c>
      <c r="I225" s="11">
        <v>45052</v>
      </c>
      <c r="J225" s="11">
        <v>45056</v>
      </c>
      <c r="K225" s="10" t="s">
        <v>32</v>
      </c>
      <c r="L225" s="10" t="s">
        <v>32</v>
      </c>
      <c r="M225" s="10" t="s">
        <v>26</v>
      </c>
      <c r="N225" s="10">
        <v>740.19</v>
      </c>
      <c r="O225" s="27" t="s">
        <v>79</v>
      </c>
      <c r="P225" s="12" t="s">
        <v>22</v>
      </c>
      <c r="Q225" s="55" t="str">
        <f>IF(AND(Dmart_sales_data[[#This Row],[customer_type2]]="Member",OR(Dmart_sales_data[[#This Row],[payment_mode]]="UPI",Dmart_sales_data[[#This Row],[payment_mode]]="Card")),"yes","No")</f>
        <v>No</v>
      </c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</row>
    <row r="226" spans="1:28" ht="14.25" customHeight="1" x14ac:dyDescent="0.3">
      <c r="A226" s="13" t="s">
        <v>268</v>
      </c>
      <c r="B226" s="14" t="s">
        <v>13</v>
      </c>
      <c r="C226" s="4" t="s">
        <v>13</v>
      </c>
      <c r="D226" s="15" t="s">
        <v>25</v>
      </c>
      <c r="E226" s="15">
        <v>2601.09</v>
      </c>
      <c r="F226" s="5" t="str">
        <f>IF(Dmart_sales_data[[#This Row],[sales]]&gt;3000,"High Sales",IF(Dmart_sales_data[[#This Row],[sales]]&gt;1000,"Medium Sales","Low Sales"))</f>
        <v>Medium Sales</v>
      </c>
      <c r="G226" s="15">
        <v>0.11</v>
      </c>
      <c r="H226" s="15">
        <v>2</v>
      </c>
      <c r="I226" s="16">
        <v>45391</v>
      </c>
      <c r="J226" s="16">
        <v>45393</v>
      </c>
      <c r="K226" s="15" t="s">
        <v>32</v>
      </c>
      <c r="L226" s="15" t="s">
        <v>32</v>
      </c>
      <c r="M226" s="15" t="s">
        <v>21</v>
      </c>
      <c r="N226" s="15">
        <v>385.44</v>
      </c>
      <c r="O226" s="27" t="s">
        <v>41</v>
      </c>
      <c r="P226" s="17" t="s">
        <v>41</v>
      </c>
      <c r="Q226" s="55" t="str">
        <f>IF(AND(Dmart_sales_data[[#This Row],[customer_type2]]="Member",OR(Dmart_sales_data[[#This Row],[payment_mode]]="UPI",Dmart_sales_data[[#This Row],[payment_mode]]="Card")),"yes","No")</f>
        <v>No</v>
      </c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</row>
    <row r="227" spans="1:28" ht="14.25" customHeight="1" x14ac:dyDescent="0.3">
      <c r="A227" s="8" t="s">
        <v>269</v>
      </c>
      <c r="B227" s="9" t="s">
        <v>576</v>
      </c>
      <c r="C227" s="9" t="s">
        <v>576</v>
      </c>
      <c r="D227" s="10" t="s">
        <v>34</v>
      </c>
      <c r="E227" s="10">
        <v>1967.83</v>
      </c>
      <c r="F227" s="5" t="str">
        <f>IF(Dmart_sales_data[[#This Row],[sales]]&gt;3000,"High Sales",IF(Dmart_sales_data[[#This Row],[sales]]&gt;1000,"Medium Sales","Low Sales"))</f>
        <v>Medium Sales</v>
      </c>
      <c r="G227" s="10">
        <v>0.19</v>
      </c>
      <c r="H227" s="10">
        <v>2</v>
      </c>
      <c r="I227" s="11">
        <v>45271</v>
      </c>
      <c r="J227" s="11">
        <v>45273</v>
      </c>
      <c r="K227" s="10" t="s">
        <v>20</v>
      </c>
      <c r="L227" s="10" t="s">
        <v>20</v>
      </c>
      <c r="M227" s="10" t="s">
        <v>21</v>
      </c>
      <c r="N227" s="10">
        <v>150.44999999999999</v>
      </c>
      <c r="O227" s="27" t="s">
        <v>35</v>
      </c>
      <c r="P227" s="12" t="s">
        <v>30</v>
      </c>
      <c r="Q227" s="55" t="str">
        <f>IF(AND(Dmart_sales_data[[#This Row],[customer_type2]]="Member",OR(Dmart_sales_data[[#This Row],[payment_mode]]="UPI",Dmart_sales_data[[#This Row],[payment_mode]]="Card")),"yes","No")</f>
        <v>No</v>
      </c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</row>
    <row r="228" spans="1:28" ht="14.25" customHeight="1" x14ac:dyDescent="0.3">
      <c r="A228" s="13" t="s">
        <v>270</v>
      </c>
      <c r="B228" s="14" t="s">
        <v>24</v>
      </c>
      <c r="C228" s="14" t="s">
        <v>24</v>
      </c>
      <c r="D228" s="15" t="s">
        <v>19</v>
      </c>
      <c r="E228" s="15">
        <v>3063.16</v>
      </c>
      <c r="F228" s="5" t="str">
        <f>IF(Dmart_sales_data[[#This Row],[sales]]&gt;3000,"High Sales",IF(Dmart_sales_data[[#This Row],[sales]]&gt;1000,"Medium Sales","Low Sales"))</f>
        <v>High Sales</v>
      </c>
      <c r="G228" s="15">
        <v>0.21</v>
      </c>
      <c r="H228" s="15">
        <v>7</v>
      </c>
      <c r="I228" s="16">
        <v>45595</v>
      </c>
      <c r="J228" s="16">
        <v>45600</v>
      </c>
      <c r="K228" s="15" t="s">
        <v>20</v>
      </c>
      <c r="L228" s="15" t="s">
        <v>20</v>
      </c>
      <c r="M228" s="15" t="s">
        <v>16</v>
      </c>
      <c r="N228" s="15">
        <v>706.04</v>
      </c>
      <c r="O228" s="27" t="s">
        <v>41</v>
      </c>
      <c r="P228" s="17" t="s">
        <v>41</v>
      </c>
      <c r="Q228" s="55" t="str">
        <f>IF(AND(Dmart_sales_data[[#This Row],[customer_type2]]="Member",OR(Dmart_sales_data[[#This Row],[payment_mode]]="UPI",Dmart_sales_data[[#This Row],[payment_mode]]="Card")),"yes","No")</f>
        <v>No</v>
      </c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</row>
    <row r="229" spans="1:28" ht="14.25" customHeight="1" x14ac:dyDescent="0.3">
      <c r="A229" s="8" t="s">
        <v>271</v>
      </c>
      <c r="B229" s="9" t="s">
        <v>29</v>
      </c>
      <c r="C229" s="9" t="s">
        <v>29</v>
      </c>
      <c r="D229" s="10" t="s">
        <v>34</v>
      </c>
      <c r="E229" s="10">
        <v>3533</v>
      </c>
      <c r="F229" s="5" t="str">
        <f>IF(Dmart_sales_data[[#This Row],[sales]]&gt;3000,"High Sales",IF(Dmart_sales_data[[#This Row],[sales]]&gt;1000,"Medium Sales","Low Sales"))</f>
        <v>High Sales</v>
      </c>
      <c r="G229" s="10">
        <v>0.17</v>
      </c>
      <c r="H229" s="10">
        <v>9</v>
      </c>
      <c r="I229" s="11">
        <v>45352</v>
      </c>
      <c r="J229" s="11">
        <v>45359</v>
      </c>
      <c r="K229" s="10" t="s">
        <v>32</v>
      </c>
      <c r="L229" s="10" t="s">
        <v>32</v>
      </c>
      <c r="M229" s="10" t="s">
        <v>26</v>
      </c>
      <c r="N229" s="10">
        <v>394.98</v>
      </c>
      <c r="O229" s="27" t="s">
        <v>17</v>
      </c>
      <c r="P229" s="12" t="s">
        <v>95</v>
      </c>
      <c r="Q229" s="55" t="str">
        <f>IF(AND(Dmart_sales_data[[#This Row],[customer_type2]]="Member",OR(Dmart_sales_data[[#This Row],[payment_mode]]="UPI",Dmart_sales_data[[#This Row],[payment_mode]]="Card")),"yes","No")</f>
        <v>No</v>
      </c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</row>
    <row r="230" spans="1:28" ht="14.25" customHeight="1" x14ac:dyDescent="0.3">
      <c r="A230" s="13" t="s">
        <v>272</v>
      </c>
      <c r="B230" s="14" t="s">
        <v>13</v>
      </c>
      <c r="C230" s="4" t="s">
        <v>13</v>
      </c>
      <c r="D230" s="15" t="s">
        <v>25</v>
      </c>
      <c r="E230" s="15">
        <v>3009.77</v>
      </c>
      <c r="F230" s="5" t="str">
        <f>IF(Dmart_sales_data[[#This Row],[sales]]&gt;3000,"High Sales",IF(Dmart_sales_data[[#This Row],[sales]]&gt;1000,"Medium Sales","Low Sales"))</f>
        <v>High Sales</v>
      </c>
      <c r="G230" s="15">
        <v>0.2</v>
      </c>
      <c r="H230" s="15">
        <v>3</v>
      </c>
      <c r="I230" s="16">
        <v>45466</v>
      </c>
      <c r="J230" s="16">
        <v>45472</v>
      </c>
      <c r="K230" s="15" t="s">
        <v>15</v>
      </c>
      <c r="L230" s="15" t="s">
        <v>15</v>
      </c>
      <c r="M230" s="15" t="s">
        <v>26</v>
      </c>
      <c r="N230" s="15">
        <v>385.71</v>
      </c>
      <c r="O230" s="27" t="s">
        <v>100</v>
      </c>
      <c r="P230" s="17" t="s">
        <v>63</v>
      </c>
      <c r="Q230" s="55" t="str">
        <f>IF(AND(Dmart_sales_data[[#This Row],[customer_type2]]="Member",OR(Dmart_sales_data[[#This Row],[payment_mode]]="UPI",Dmart_sales_data[[#This Row],[payment_mode]]="Card")),"yes","No")</f>
        <v>No</v>
      </c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</row>
    <row r="231" spans="1:28" ht="14.25" customHeight="1" x14ac:dyDescent="0.3">
      <c r="A231" s="8" t="s">
        <v>273</v>
      </c>
      <c r="B231" s="9" t="s">
        <v>576</v>
      </c>
      <c r="C231" s="9" t="s">
        <v>576</v>
      </c>
      <c r="D231" s="10" t="s">
        <v>14</v>
      </c>
      <c r="E231" s="10">
        <v>4609.2</v>
      </c>
      <c r="F231" s="5" t="str">
        <f>IF(Dmart_sales_data[[#This Row],[sales]]&gt;3000,"High Sales",IF(Dmart_sales_data[[#This Row],[sales]]&gt;1000,"Medium Sales","Low Sales"))</f>
        <v>High Sales</v>
      </c>
      <c r="G231" s="10">
        <v>0.4</v>
      </c>
      <c r="H231" s="10">
        <v>3</v>
      </c>
      <c r="I231" s="11">
        <v>45137</v>
      </c>
      <c r="J231" s="11">
        <v>45144</v>
      </c>
      <c r="K231" s="10" t="s">
        <v>20</v>
      </c>
      <c r="L231" s="10" t="s">
        <v>20</v>
      </c>
      <c r="M231" s="10" t="s">
        <v>21</v>
      </c>
      <c r="N231" s="10">
        <v>244.12</v>
      </c>
      <c r="O231" s="27" t="s">
        <v>27</v>
      </c>
      <c r="P231" s="12" t="s">
        <v>48</v>
      </c>
      <c r="Q231" s="55" t="str">
        <f>IF(AND(Dmart_sales_data[[#This Row],[customer_type2]]="Member",OR(Dmart_sales_data[[#This Row],[payment_mode]]="UPI",Dmart_sales_data[[#This Row],[payment_mode]]="Card")),"yes","No")</f>
        <v>No</v>
      </c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</row>
    <row r="232" spans="1:28" ht="14.25" customHeight="1" x14ac:dyDescent="0.3">
      <c r="A232" s="13" t="s">
        <v>274</v>
      </c>
      <c r="B232" s="14" t="s">
        <v>24</v>
      </c>
      <c r="C232" s="14" t="s">
        <v>24</v>
      </c>
      <c r="D232" s="15" t="s">
        <v>14</v>
      </c>
      <c r="E232" s="15">
        <v>3177.29</v>
      </c>
      <c r="F232" s="5" t="str">
        <f>IF(Dmart_sales_data[[#This Row],[sales]]&gt;3000,"High Sales",IF(Dmart_sales_data[[#This Row],[sales]]&gt;1000,"Medium Sales","Low Sales"))</f>
        <v>High Sales</v>
      </c>
      <c r="G232" s="15">
        <v>0.11</v>
      </c>
      <c r="H232" s="15">
        <v>8</v>
      </c>
      <c r="I232" s="16">
        <v>45192</v>
      </c>
      <c r="J232" s="16">
        <v>45196</v>
      </c>
      <c r="K232" s="15" t="s">
        <v>20</v>
      </c>
      <c r="L232" s="15" t="s">
        <v>20</v>
      </c>
      <c r="M232" s="15" t="s">
        <v>26</v>
      </c>
      <c r="N232" s="15">
        <v>682.33</v>
      </c>
      <c r="O232" s="27" t="s">
        <v>17</v>
      </c>
      <c r="P232" s="17" t="s">
        <v>95</v>
      </c>
      <c r="Q232" s="55" t="str">
        <f>IF(AND(Dmart_sales_data[[#This Row],[customer_type2]]="Member",OR(Dmart_sales_data[[#This Row],[payment_mode]]="UPI",Dmart_sales_data[[#This Row],[payment_mode]]="Card")),"yes","No")</f>
        <v>No</v>
      </c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</row>
    <row r="233" spans="1:28" ht="14.25" customHeight="1" x14ac:dyDescent="0.3">
      <c r="A233" s="8" t="s">
        <v>275</v>
      </c>
      <c r="B233" s="9" t="s">
        <v>29</v>
      </c>
      <c r="C233" s="9" t="s">
        <v>29</v>
      </c>
      <c r="D233" s="10" t="s">
        <v>37</v>
      </c>
      <c r="E233" s="10">
        <v>4405.05</v>
      </c>
      <c r="F233" s="5" t="str">
        <f>IF(Dmart_sales_data[[#This Row],[sales]]&gt;3000,"High Sales",IF(Dmart_sales_data[[#This Row],[sales]]&gt;1000,"Medium Sales","Low Sales"))</f>
        <v>High Sales</v>
      </c>
      <c r="G233" s="10">
        <v>0.24</v>
      </c>
      <c r="H233" s="10">
        <v>2</v>
      </c>
      <c r="I233" s="11">
        <v>45193</v>
      </c>
      <c r="J233" s="11">
        <v>45200</v>
      </c>
      <c r="K233" s="10" t="s">
        <v>20</v>
      </c>
      <c r="L233" s="10" t="s">
        <v>20</v>
      </c>
      <c r="M233" s="10" t="s">
        <v>21</v>
      </c>
      <c r="N233" s="10">
        <v>1055.96</v>
      </c>
      <c r="O233" s="27" t="s">
        <v>100</v>
      </c>
      <c r="P233" s="12" t="s">
        <v>100</v>
      </c>
      <c r="Q233" s="55" t="str">
        <f>IF(AND(Dmart_sales_data[[#This Row],[customer_type2]]="Member",OR(Dmart_sales_data[[#This Row],[payment_mode]]="UPI",Dmart_sales_data[[#This Row],[payment_mode]]="Card")),"yes","No")</f>
        <v>No</v>
      </c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</row>
    <row r="234" spans="1:28" ht="14.25" customHeight="1" x14ac:dyDescent="0.3">
      <c r="A234" s="13" t="s">
        <v>276</v>
      </c>
      <c r="B234" s="14" t="s">
        <v>13</v>
      </c>
      <c r="C234" s="4" t="s">
        <v>13</v>
      </c>
      <c r="D234" s="15" t="s">
        <v>19</v>
      </c>
      <c r="E234" s="15">
        <v>2976.1</v>
      </c>
      <c r="F234" s="5" t="str">
        <f>IF(Dmart_sales_data[[#This Row],[sales]]&gt;3000,"High Sales",IF(Dmart_sales_data[[#This Row],[sales]]&gt;1000,"Medium Sales","Low Sales"))</f>
        <v>Medium Sales</v>
      </c>
      <c r="G234" s="15">
        <v>0.01</v>
      </c>
      <c r="H234" s="15">
        <v>9</v>
      </c>
      <c r="I234" s="16">
        <v>45180</v>
      </c>
      <c r="J234" s="16">
        <v>45187</v>
      </c>
      <c r="K234" s="15" t="s">
        <v>32</v>
      </c>
      <c r="L234" s="15" t="s">
        <v>32</v>
      </c>
      <c r="M234" s="15" t="s">
        <v>16</v>
      </c>
      <c r="N234" s="15">
        <v>219.01</v>
      </c>
      <c r="O234" s="27" t="s">
        <v>27</v>
      </c>
      <c r="P234" s="17" t="s">
        <v>39</v>
      </c>
      <c r="Q234" s="55" t="str">
        <f>IF(AND(Dmart_sales_data[[#This Row],[customer_type2]]="Member",OR(Dmart_sales_data[[#This Row],[payment_mode]]="UPI",Dmart_sales_data[[#This Row],[payment_mode]]="Card")),"yes","No")</f>
        <v>No</v>
      </c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</row>
    <row r="235" spans="1:28" ht="14.25" customHeight="1" x14ac:dyDescent="0.3">
      <c r="A235" s="8" t="s">
        <v>277</v>
      </c>
      <c r="B235" s="9" t="s">
        <v>576</v>
      </c>
      <c r="C235" s="9" t="s">
        <v>576</v>
      </c>
      <c r="D235" s="10" t="s">
        <v>19</v>
      </c>
      <c r="E235" s="10">
        <v>1715.43</v>
      </c>
      <c r="F235" s="5" t="str">
        <f>IF(Dmart_sales_data[[#This Row],[sales]]&gt;3000,"High Sales",IF(Dmart_sales_data[[#This Row],[sales]]&gt;1000,"Medium Sales","Low Sales"))</f>
        <v>Medium Sales</v>
      </c>
      <c r="G235" s="10">
        <v>0.25</v>
      </c>
      <c r="H235" s="10">
        <v>7</v>
      </c>
      <c r="I235" s="11">
        <v>45114</v>
      </c>
      <c r="J235" s="11">
        <v>45121</v>
      </c>
      <c r="K235" s="10" t="s">
        <v>32</v>
      </c>
      <c r="L235" s="10" t="s">
        <v>32</v>
      </c>
      <c r="M235" s="10" t="s">
        <v>26</v>
      </c>
      <c r="N235" s="10">
        <v>144.54</v>
      </c>
      <c r="O235" s="27" t="s">
        <v>17</v>
      </c>
      <c r="P235" s="12" t="s">
        <v>95</v>
      </c>
      <c r="Q235" s="55" t="str">
        <f>IF(AND(Dmart_sales_data[[#This Row],[customer_type2]]="Member",OR(Dmart_sales_data[[#This Row],[payment_mode]]="UPI",Dmart_sales_data[[#This Row],[payment_mode]]="Card")),"yes","No")</f>
        <v>No</v>
      </c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</row>
    <row r="236" spans="1:28" ht="14.25" customHeight="1" x14ac:dyDescent="0.3">
      <c r="A236" s="13" t="s">
        <v>278</v>
      </c>
      <c r="B236" s="14" t="s">
        <v>24</v>
      </c>
      <c r="C236" s="14" t="s">
        <v>24</v>
      </c>
      <c r="D236" s="15" t="s">
        <v>37</v>
      </c>
      <c r="E236" s="15">
        <v>2708.25</v>
      </c>
      <c r="F236" s="5" t="str">
        <f>IF(Dmart_sales_data[[#This Row],[sales]]&gt;3000,"High Sales",IF(Dmart_sales_data[[#This Row],[sales]]&gt;1000,"Medium Sales","Low Sales"))</f>
        <v>Medium Sales</v>
      </c>
      <c r="G236" s="15">
        <v>0.06</v>
      </c>
      <c r="H236" s="15">
        <v>8</v>
      </c>
      <c r="I236" s="16">
        <v>44956</v>
      </c>
      <c r="J236" s="16">
        <v>44962</v>
      </c>
      <c r="K236" s="15" t="s">
        <v>32</v>
      </c>
      <c r="L236" s="15" t="s">
        <v>32</v>
      </c>
      <c r="M236" s="15" t="s">
        <v>21</v>
      </c>
      <c r="N236" s="15">
        <v>692.61</v>
      </c>
      <c r="O236" s="27" t="s">
        <v>35</v>
      </c>
      <c r="P236" s="17" t="s">
        <v>58</v>
      </c>
      <c r="Q236" s="55" t="str">
        <f>IF(AND(Dmart_sales_data[[#This Row],[customer_type2]]="Member",OR(Dmart_sales_data[[#This Row],[payment_mode]]="UPI",Dmart_sales_data[[#This Row],[payment_mode]]="Card")),"yes","No")</f>
        <v>No</v>
      </c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</row>
    <row r="237" spans="1:28" ht="14.25" customHeight="1" x14ac:dyDescent="0.3">
      <c r="A237" s="8" t="s">
        <v>279</v>
      </c>
      <c r="B237" s="9" t="s">
        <v>29</v>
      </c>
      <c r="C237" s="9" t="s">
        <v>29</v>
      </c>
      <c r="D237" s="10" t="s">
        <v>34</v>
      </c>
      <c r="E237" s="10">
        <v>523.04999999999995</v>
      </c>
      <c r="F237" s="5" t="str">
        <f>IF(Dmart_sales_data[[#This Row],[sales]]&gt;3000,"High Sales",IF(Dmart_sales_data[[#This Row],[sales]]&gt;1000,"Medium Sales","Low Sales"))</f>
        <v>Low Sales</v>
      </c>
      <c r="G237" s="10">
        <v>0.14000000000000001</v>
      </c>
      <c r="H237" s="10">
        <v>9</v>
      </c>
      <c r="I237" s="11">
        <v>45231</v>
      </c>
      <c r="J237" s="11">
        <v>45234</v>
      </c>
      <c r="K237" s="10" t="s">
        <v>20</v>
      </c>
      <c r="L237" s="10" t="s">
        <v>20</v>
      </c>
      <c r="M237" s="10" t="s">
        <v>16</v>
      </c>
      <c r="N237" s="10">
        <v>122.23</v>
      </c>
      <c r="O237" s="27" t="s">
        <v>79</v>
      </c>
      <c r="P237" s="12" t="s">
        <v>79</v>
      </c>
      <c r="Q237" s="55" t="str">
        <f>IF(AND(Dmart_sales_data[[#This Row],[customer_type2]]="Member",OR(Dmart_sales_data[[#This Row],[payment_mode]]="UPI",Dmart_sales_data[[#This Row],[payment_mode]]="Card")),"yes","No")</f>
        <v>No</v>
      </c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</row>
    <row r="238" spans="1:28" ht="14.25" customHeight="1" x14ac:dyDescent="0.3">
      <c r="A238" s="13" t="s">
        <v>280</v>
      </c>
      <c r="B238" s="14" t="s">
        <v>13</v>
      </c>
      <c r="C238" s="4" t="s">
        <v>13</v>
      </c>
      <c r="D238" s="15" t="s">
        <v>14</v>
      </c>
      <c r="E238" s="15">
        <v>1227.8599999999999</v>
      </c>
      <c r="F238" s="5" t="str">
        <f>IF(Dmart_sales_data[[#This Row],[sales]]&gt;3000,"High Sales",IF(Dmart_sales_data[[#This Row],[sales]]&gt;1000,"Medium Sales","Low Sales"))</f>
        <v>Medium Sales</v>
      </c>
      <c r="G238" s="15">
        <v>0.16</v>
      </c>
      <c r="H238" s="15">
        <v>3</v>
      </c>
      <c r="I238" s="16">
        <v>45379</v>
      </c>
      <c r="J238" s="16">
        <v>45381</v>
      </c>
      <c r="K238" s="15" t="s">
        <v>20</v>
      </c>
      <c r="L238" s="15" t="s">
        <v>20</v>
      </c>
      <c r="M238" s="15" t="s">
        <v>16</v>
      </c>
      <c r="N238" s="15">
        <v>99.39</v>
      </c>
      <c r="O238" s="27" t="s">
        <v>17</v>
      </c>
      <c r="P238" s="17" t="s">
        <v>17</v>
      </c>
      <c r="Q238" s="55" t="str">
        <f>IF(AND(Dmart_sales_data[[#This Row],[customer_type2]]="Member",OR(Dmart_sales_data[[#This Row],[payment_mode]]="UPI",Dmart_sales_data[[#This Row],[payment_mode]]="Card")),"yes","No")</f>
        <v>No</v>
      </c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</row>
    <row r="239" spans="1:28" ht="14.25" customHeight="1" x14ac:dyDescent="0.3">
      <c r="A239" s="8" t="s">
        <v>281</v>
      </c>
      <c r="B239" s="9" t="s">
        <v>576</v>
      </c>
      <c r="C239" s="9" t="s">
        <v>576</v>
      </c>
      <c r="D239" s="10" t="s">
        <v>14</v>
      </c>
      <c r="E239" s="10">
        <v>3854.54</v>
      </c>
      <c r="F239" s="5" t="str">
        <f>IF(Dmart_sales_data[[#This Row],[sales]]&gt;3000,"High Sales",IF(Dmart_sales_data[[#This Row],[sales]]&gt;1000,"Medium Sales","Low Sales"))</f>
        <v>High Sales</v>
      </c>
      <c r="G239" s="10">
        <v>0.04</v>
      </c>
      <c r="H239" s="10">
        <v>6</v>
      </c>
      <c r="I239" s="11">
        <v>45626</v>
      </c>
      <c r="J239" s="11">
        <v>45627</v>
      </c>
      <c r="K239" s="10" t="s">
        <v>15</v>
      </c>
      <c r="L239" s="10" t="s">
        <v>15</v>
      </c>
      <c r="M239" s="10" t="s">
        <v>21</v>
      </c>
      <c r="N239" s="10">
        <v>600.08000000000004</v>
      </c>
      <c r="O239" s="27" t="s">
        <v>35</v>
      </c>
      <c r="P239" s="12" t="s">
        <v>58</v>
      </c>
      <c r="Q239" s="55" t="str">
        <f>IF(AND(Dmart_sales_data[[#This Row],[customer_type2]]="Member",OR(Dmart_sales_data[[#This Row],[payment_mode]]="UPI",Dmart_sales_data[[#This Row],[payment_mode]]="Card")),"yes","No")</f>
        <v>yes</v>
      </c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</row>
    <row r="240" spans="1:28" ht="14.25" customHeight="1" x14ac:dyDescent="0.3">
      <c r="A240" s="13" t="s">
        <v>282</v>
      </c>
      <c r="B240" s="14" t="s">
        <v>24</v>
      </c>
      <c r="C240" s="14" t="s">
        <v>24</v>
      </c>
      <c r="D240" s="15" t="s">
        <v>19</v>
      </c>
      <c r="E240" s="15">
        <v>3341.23</v>
      </c>
      <c r="F240" s="5" t="str">
        <f>IF(Dmart_sales_data[[#This Row],[sales]]&gt;3000,"High Sales",IF(Dmart_sales_data[[#This Row],[sales]]&gt;1000,"Medium Sales","Low Sales"))</f>
        <v>High Sales</v>
      </c>
      <c r="G240" s="15">
        <v>0.18</v>
      </c>
      <c r="H240" s="15">
        <v>8</v>
      </c>
      <c r="I240" s="16">
        <v>45625</v>
      </c>
      <c r="J240" s="16">
        <v>45626</v>
      </c>
      <c r="K240" s="15" t="s">
        <v>32</v>
      </c>
      <c r="L240" s="15" t="s">
        <v>32</v>
      </c>
      <c r="M240" s="15" t="s">
        <v>16</v>
      </c>
      <c r="N240" s="15">
        <v>427.47</v>
      </c>
      <c r="O240" s="27" t="s">
        <v>100</v>
      </c>
      <c r="P240" s="17" t="s">
        <v>65</v>
      </c>
      <c r="Q240" s="55" t="str">
        <f>IF(AND(Dmart_sales_data[[#This Row],[customer_type2]]="Member",OR(Dmart_sales_data[[#This Row],[payment_mode]]="UPI",Dmart_sales_data[[#This Row],[payment_mode]]="Card")),"yes","No")</f>
        <v>No</v>
      </c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</row>
    <row r="241" spans="1:28" ht="14.25" customHeight="1" x14ac:dyDescent="0.3">
      <c r="A241" s="8" t="s">
        <v>283</v>
      </c>
      <c r="B241" s="9" t="s">
        <v>29</v>
      </c>
      <c r="C241" s="9" t="s">
        <v>29</v>
      </c>
      <c r="D241" s="10" t="s">
        <v>19</v>
      </c>
      <c r="E241" s="10">
        <v>915.94</v>
      </c>
      <c r="F241" s="5" t="str">
        <f>IF(Dmart_sales_data[[#This Row],[sales]]&gt;3000,"High Sales",IF(Dmart_sales_data[[#This Row],[sales]]&gt;1000,"Medium Sales","Low Sales"))</f>
        <v>Low Sales</v>
      </c>
      <c r="G241" s="10">
        <v>0.25</v>
      </c>
      <c r="H241" s="10">
        <v>1</v>
      </c>
      <c r="I241" s="11">
        <v>45571</v>
      </c>
      <c r="J241" s="11">
        <v>45572</v>
      </c>
      <c r="K241" s="10" t="s">
        <v>32</v>
      </c>
      <c r="L241" s="10" t="s">
        <v>32</v>
      </c>
      <c r="M241" s="10" t="s">
        <v>16</v>
      </c>
      <c r="N241" s="10">
        <v>83.32</v>
      </c>
      <c r="O241" s="27" t="s">
        <v>100</v>
      </c>
      <c r="P241" s="12" t="s">
        <v>65</v>
      </c>
      <c r="Q241" s="55" t="str">
        <f>IF(AND(Dmart_sales_data[[#This Row],[customer_type2]]="Member",OR(Dmart_sales_data[[#This Row],[payment_mode]]="UPI",Dmart_sales_data[[#This Row],[payment_mode]]="Card")),"yes","No")</f>
        <v>No</v>
      </c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</row>
    <row r="242" spans="1:28" ht="14.25" customHeight="1" x14ac:dyDescent="0.3">
      <c r="A242" s="13" t="s">
        <v>284</v>
      </c>
      <c r="B242" s="14" t="s">
        <v>13</v>
      </c>
      <c r="C242" s="4" t="s">
        <v>13</v>
      </c>
      <c r="D242" s="15" t="s">
        <v>37</v>
      </c>
      <c r="E242" s="15">
        <v>2246.27</v>
      </c>
      <c r="F242" s="5" t="str">
        <f>IF(Dmart_sales_data[[#This Row],[sales]]&gt;3000,"High Sales",IF(Dmart_sales_data[[#This Row],[sales]]&gt;1000,"Medium Sales","Low Sales"))</f>
        <v>Medium Sales</v>
      </c>
      <c r="G242" s="15">
        <v>0.22</v>
      </c>
      <c r="H242" s="15">
        <v>6</v>
      </c>
      <c r="I242" s="16">
        <v>44956</v>
      </c>
      <c r="J242" s="16">
        <v>44963</v>
      </c>
      <c r="K242" s="15" t="s">
        <v>20</v>
      </c>
      <c r="L242" s="15" t="s">
        <v>20</v>
      </c>
      <c r="M242" s="15" t="s">
        <v>21</v>
      </c>
      <c r="N242" s="15">
        <v>358.48</v>
      </c>
      <c r="O242" s="27" t="s">
        <v>79</v>
      </c>
      <c r="P242" s="17" t="s">
        <v>55</v>
      </c>
      <c r="Q242" s="55" t="str">
        <f>IF(AND(Dmart_sales_data[[#This Row],[customer_type2]]="Member",OR(Dmart_sales_data[[#This Row],[payment_mode]]="UPI",Dmart_sales_data[[#This Row],[payment_mode]]="Card")),"yes","No")</f>
        <v>No</v>
      </c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</row>
    <row r="243" spans="1:28" ht="14.25" customHeight="1" x14ac:dyDescent="0.3">
      <c r="A243" s="8" t="s">
        <v>285</v>
      </c>
      <c r="B243" s="9" t="s">
        <v>576</v>
      </c>
      <c r="C243" s="9" t="s">
        <v>576</v>
      </c>
      <c r="D243" s="10" t="s">
        <v>25</v>
      </c>
      <c r="E243" s="10">
        <v>795.76</v>
      </c>
      <c r="F243" s="5" t="str">
        <f>IF(Dmart_sales_data[[#This Row],[sales]]&gt;3000,"High Sales",IF(Dmart_sales_data[[#This Row],[sales]]&gt;1000,"Medium Sales","Low Sales"))</f>
        <v>Low Sales</v>
      </c>
      <c r="G243" s="10">
        <v>0.14000000000000001</v>
      </c>
      <c r="H243" s="10">
        <v>3</v>
      </c>
      <c r="I243" s="11">
        <v>45087</v>
      </c>
      <c r="J243" s="11">
        <v>45092</v>
      </c>
      <c r="K243" s="10" t="s">
        <v>20</v>
      </c>
      <c r="L243" s="10" t="s">
        <v>20</v>
      </c>
      <c r="M243" s="10" t="s">
        <v>26</v>
      </c>
      <c r="N243" s="10">
        <v>209.28</v>
      </c>
      <c r="O243" s="27" t="s">
        <v>27</v>
      </c>
      <c r="P243" s="12" t="s">
        <v>39</v>
      </c>
      <c r="Q243" s="55" t="str">
        <f>IF(AND(Dmart_sales_data[[#This Row],[customer_type2]]="Member",OR(Dmart_sales_data[[#This Row],[payment_mode]]="UPI",Dmart_sales_data[[#This Row],[payment_mode]]="Card")),"yes","No")</f>
        <v>No</v>
      </c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</row>
    <row r="244" spans="1:28" ht="14.25" customHeight="1" x14ac:dyDescent="0.3">
      <c r="A244" s="13" t="s">
        <v>286</v>
      </c>
      <c r="B244" s="14" t="s">
        <v>24</v>
      </c>
      <c r="C244" s="14" t="s">
        <v>24</v>
      </c>
      <c r="D244" s="15" t="s">
        <v>34</v>
      </c>
      <c r="E244" s="15">
        <v>4293.51</v>
      </c>
      <c r="F244" s="5" t="str">
        <f>IF(Dmart_sales_data[[#This Row],[sales]]&gt;3000,"High Sales",IF(Dmart_sales_data[[#This Row],[sales]]&gt;1000,"Medium Sales","Low Sales"))</f>
        <v>High Sales</v>
      </c>
      <c r="G244" s="15">
        <v>0.15</v>
      </c>
      <c r="H244" s="15">
        <v>8</v>
      </c>
      <c r="I244" s="16">
        <v>45576</v>
      </c>
      <c r="J244" s="16">
        <v>45579</v>
      </c>
      <c r="K244" s="15" t="s">
        <v>15</v>
      </c>
      <c r="L244" s="15" t="s">
        <v>15</v>
      </c>
      <c r="M244" s="15" t="s">
        <v>26</v>
      </c>
      <c r="N244" s="15">
        <v>1090.8399999999999</v>
      </c>
      <c r="O244" s="27" t="s">
        <v>27</v>
      </c>
      <c r="P244" s="17" t="s">
        <v>48</v>
      </c>
      <c r="Q244" s="55" t="str">
        <f>IF(AND(Dmart_sales_data[[#This Row],[customer_type2]]="Member",OR(Dmart_sales_data[[#This Row],[payment_mode]]="UPI",Dmart_sales_data[[#This Row],[payment_mode]]="Card")),"yes","No")</f>
        <v>No</v>
      </c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</row>
    <row r="245" spans="1:28" ht="14.25" customHeight="1" x14ac:dyDescent="0.3">
      <c r="A245" s="8" t="s">
        <v>287</v>
      </c>
      <c r="B245" s="9" t="s">
        <v>29</v>
      </c>
      <c r="C245" s="9" t="s">
        <v>29</v>
      </c>
      <c r="D245" s="10" t="s">
        <v>25</v>
      </c>
      <c r="E245" s="10">
        <v>634.92999999999995</v>
      </c>
      <c r="F245" s="5" t="str">
        <f>IF(Dmart_sales_data[[#This Row],[sales]]&gt;3000,"High Sales",IF(Dmart_sales_data[[#This Row],[sales]]&gt;1000,"Medium Sales","Low Sales"))</f>
        <v>Low Sales</v>
      </c>
      <c r="G245" s="10">
        <v>0.32</v>
      </c>
      <c r="H245" s="10">
        <v>9</v>
      </c>
      <c r="I245" s="11">
        <v>45349</v>
      </c>
      <c r="J245" s="11">
        <v>45351</v>
      </c>
      <c r="K245" s="10" t="s">
        <v>20</v>
      </c>
      <c r="L245" s="10" t="s">
        <v>20</v>
      </c>
      <c r="M245" s="10" t="s">
        <v>16</v>
      </c>
      <c r="N245" s="10">
        <v>124.78</v>
      </c>
      <c r="O245" s="27" t="s">
        <v>79</v>
      </c>
      <c r="P245" s="12" t="s">
        <v>22</v>
      </c>
      <c r="Q245" s="55" t="str">
        <f>IF(AND(Dmart_sales_data[[#This Row],[customer_type2]]="Member",OR(Dmart_sales_data[[#This Row],[payment_mode]]="UPI",Dmart_sales_data[[#This Row],[payment_mode]]="Card")),"yes","No")</f>
        <v>No</v>
      </c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</row>
    <row r="246" spans="1:28" ht="14.25" customHeight="1" x14ac:dyDescent="0.3">
      <c r="A246" s="13" t="s">
        <v>288</v>
      </c>
      <c r="B246" s="14" t="s">
        <v>13</v>
      </c>
      <c r="C246" s="4" t="s">
        <v>13</v>
      </c>
      <c r="D246" s="15" t="s">
        <v>25</v>
      </c>
      <c r="E246" s="15">
        <v>3305.75</v>
      </c>
      <c r="F246" s="5" t="str">
        <f>IF(Dmart_sales_data[[#This Row],[sales]]&gt;3000,"High Sales",IF(Dmart_sales_data[[#This Row],[sales]]&gt;1000,"Medium Sales","Low Sales"))</f>
        <v>High Sales</v>
      </c>
      <c r="G246" s="15">
        <v>0.36</v>
      </c>
      <c r="H246" s="15">
        <v>5</v>
      </c>
      <c r="I246" s="16">
        <v>45273</v>
      </c>
      <c r="J246" s="16">
        <v>45278</v>
      </c>
      <c r="K246" s="15" t="s">
        <v>20</v>
      </c>
      <c r="L246" s="15" t="s">
        <v>20</v>
      </c>
      <c r="M246" s="15" t="s">
        <v>21</v>
      </c>
      <c r="N246" s="15">
        <v>627.83000000000004</v>
      </c>
      <c r="O246" s="27" t="s">
        <v>35</v>
      </c>
      <c r="P246" s="17" t="s">
        <v>30</v>
      </c>
      <c r="Q246" s="55" t="str">
        <f>IF(AND(Dmart_sales_data[[#This Row],[customer_type2]]="Member",OR(Dmart_sales_data[[#This Row],[payment_mode]]="UPI",Dmart_sales_data[[#This Row],[payment_mode]]="Card")),"yes","No")</f>
        <v>No</v>
      </c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</row>
    <row r="247" spans="1:28" ht="14.25" customHeight="1" x14ac:dyDescent="0.3">
      <c r="A247" s="8" t="s">
        <v>289</v>
      </c>
      <c r="B247" s="9" t="s">
        <v>576</v>
      </c>
      <c r="C247" s="9" t="s">
        <v>576</v>
      </c>
      <c r="D247" s="10" t="s">
        <v>19</v>
      </c>
      <c r="E247" s="10">
        <v>3074.3</v>
      </c>
      <c r="F247" s="5" t="str">
        <f>IF(Dmart_sales_data[[#This Row],[sales]]&gt;3000,"High Sales",IF(Dmart_sales_data[[#This Row],[sales]]&gt;1000,"Medium Sales","Low Sales"))</f>
        <v>High Sales</v>
      </c>
      <c r="G247" s="10">
        <v>0.28999999999999998</v>
      </c>
      <c r="H247" s="10">
        <v>2</v>
      </c>
      <c r="I247" s="11">
        <v>45504</v>
      </c>
      <c r="J247" s="11">
        <v>45508</v>
      </c>
      <c r="K247" s="10" t="s">
        <v>20</v>
      </c>
      <c r="L247" s="10" t="s">
        <v>20</v>
      </c>
      <c r="M247" s="10" t="s">
        <v>26</v>
      </c>
      <c r="N247" s="10">
        <v>656.86</v>
      </c>
      <c r="O247" s="27" t="s">
        <v>100</v>
      </c>
      <c r="P247" s="12" t="s">
        <v>100</v>
      </c>
      <c r="Q247" s="55" t="str">
        <f>IF(AND(Dmart_sales_data[[#This Row],[customer_type2]]="Member",OR(Dmart_sales_data[[#This Row],[payment_mode]]="UPI",Dmart_sales_data[[#This Row],[payment_mode]]="Card")),"yes","No")</f>
        <v>No</v>
      </c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</row>
    <row r="248" spans="1:28" ht="14.25" customHeight="1" x14ac:dyDescent="0.3">
      <c r="A248" s="13" t="s">
        <v>290</v>
      </c>
      <c r="B248" s="14" t="s">
        <v>24</v>
      </c>
      <c r="C248" s="14" t="s">
        <v>24</v>
      </c>
      <c r="D248" s="15" t="s">
        <v>19</v>
      </c>
      <c r="E248" s="15">
        <v>2416.61</v>
      </c>
      <c r="F248" s="5" t="str">
        <f>IF(Dmart_sales_data[[#This Row],[sales]]&gt;3000,"High Sales",IF(Dmart_sales_data[[#This Row],[sales]]&gt;1000,"Medium Sales","Low Sales"))</f>
        <v>Medium Sales</v>
      </c>
      <c r="G248" s="15">
        <v>0.49</v>
      </c>
      <c r="H248" s="15">
        <v>7</v>
      </c>
      <c r="I248" s="16">
        <v>45148</v>
      </c>
      <c r="J248" s="16">
        <v>45152</v>
      </c>
      <c r="K248" s="15" t="s">
        <v>15</v>
      </c>
      <c r="L248" s="15" t="s">
        <v>15</v>
      </c>
      <c r="M248" s="15" t="s">
        <v>26</v>
      </c>
      <c r="N248" s="15">
        <v>710.07</v>
      </c>
      <c r="O248" s="27" t="s">
        <v>27</v>
      </c>
      <c r="P248" s="17" t="s">
        <v>48</v>
      </c>
      <c r="Q248" s="55" t="str">
        <f>IF(AND(Dmart_sales_data[[#This Row],[customer_type2]]="Member",OR(Dmart_sales_data[[#This Row],[payment_mode]]="UPI",Dmart_sales_data[[#This Row],[payment_mode]]="Card")),"yes","No")</f>
        <v>No</v>
      </c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</row>
    <row r="249" spans="1:28" ht="14.25" customHeight="1" x14ac:dyDescent="0.3">
      <c r="A249" s="8" t="s">
        <v>291</v>
      </c>
      <c r="B249" s="9" t="s">
        <v>29</v>
      </c>
      <c r="C249" s="9" t="s">
        <v>29</v>
      </c>
      <c r="D249" s="10" t="s">
        <v>19</v>
      </c>
      <c r="E249" s="10">
        <v>1463.35</v>
      </c>
      <c r="F249" s="5" t="str">
        <f>IF(Dmart_sales_data[[#This Row],[sales]]&gt;3000,"High Sales",IF(Dmart_sales_data[[#This Row],[sales]]&gt;1000,"Medium Sales","Low Sales"))</f>
        <v>Medium Sales</v>
      </c>
      <c r="G249" s="10">
        <v>0.47</v>
      </c>
      <c r="H249" s="10">
        <v>6</v>
      </c>
      <c r="I249" s="11">
        <v>45114</v>
      </c>
      <c r="J249" s="11">
        <v>45121</v>
      </c>
      <c r="K249" s="10" t="s">
        <v>15</v>
      </c>
      <c r="L249" s="10" t="s">
        <v>15</v>
      </c>
      <c r="M249" s="10" t="s">
        <v>16</v>
      </c>
      <c r="N249" s="10">
        <v>374.36</v>
      </c>
      <c r="O249" s="27" t="s">
        <v>41</v>
      </c>
      <c r="P249" s="12" t="s">
        <v>44</v>
      </c>
      <c r="Q249" s="55" t="str">
        <f>IF(AND(Dmart_sales_data[[#This Row],[customer_type2]]="Member",OR(Dmart_sales_data[[#This Row],[payment_mode]]="UPI",Dmart_sales_data[[#This Row],[payment_mode]]="Card")),"yes","No")</f>
        <v>yes</v>
      </c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</row>
    <row r="250" spans="1:28" ht="14.25" customHeight="1" x14ac:dyDescent="0.3">
      <c r="A250" s="13" t="s">
        <v>292</v>
      </c>
      <c r="B250" s="14" t="s">
        <v>13</v>
      </c>
      <c r="C250" s="4" t="s">
        <v>13</v>
      </c>
      <c r="D250" s="15" t="s">
        <v>25</v>
      </c>
      <c r="E250" s="15">
        <v>2079.39</v>
      </c>
      <c r="F250" s="5" t="str">
        <f>IF(Dmart_sales_data[[#This Row],[sales]]&gt;3000,"High Sales",IF(Dmart_sales_data[[#This Row],[sales]]&gt;1000,"Medium Sales","Low Sales"))</f>
        <v>Medium Sales</v>
      </c>
      <c r="G250" s="15">
        <v>0.05</v>
      </c>
      <c r="H250" s="15">
        <v>6</v>
      </c>
      <c r="I250" s="16">
        <v>45351</v>
      </c>
      <c r="J250" s="16">
        <v>45353</v>
      </c>
      <c r="K250" s="15" t="s">
        <v>15</v>
      </c>
      <c r="L250" s="15" t="s">
        <v>15</v>
      </c>
      <c r="M250" s="15" t="s">
        <v>16</v>
      </c>
      <c r="N250" s="15">
        <v>214.85</v>
      </c>
      <c r="O250" s="27" t="s">
        <v>79</v>
      </c>
      <c r="P250" s="17" t="s">
        <v>55</v>
      </c>
      <c r="Q250" s="55" t="str">
        <f>IF(AND(Dmart_sales_data[[#This Row],[customer_type2]]="Member",OR(Dmart_sales_data[[#This Row],[payment_mode]]="UPI",Dmart_sales_data[[#This Row],[payment_mode]]="Card")),"yes","No")</f>
        <v>yes</v>
      </c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</row>
    <row r="251" spans="1:28" ht="14.25" customHeight="1" x14ac:dyDescent="0.3">
      <c r="A251" s="8" t="s">
        <v>293</v>
      </c>
      <c r="B251" s="9" t="s">
        <v>576</v>
      </c>
      <c r="C251" s="9" t="s">
        <v>576</v>
      </c>
      <c r="D251" s="10" t="s">
        <v>34</v>
      </c>
      <c r="E251" s="10">
        <v>4051.32</v>
      </c>
      <c r="F251" s="5" t="str">
        <f>IF(Dmart_sales_data[[#This Row],[sales]]&gt;3000,"High Sales",IF(Dmart_sales_data[[#This Row],[sales]]&gt;1000,"Medium Sales","Low Sales"))</f>
        <v>High Sales</v>
      </c>
      <c r="G251" s="10">
        <v>0.13</v>
      </c>
      <c r="H251" s="10">
        <v>1</v>
      </c>
      <c r="I251" s="11">
        <v>45475</v>
      </c>
      <c r="J251" s="11">
        <v>45482</v>
      </c>
      <c r="K251" s="10" t="s">
        <v>15</v>
      </c>
      <c r="L251" s="10" t="s">
        <v>15</v>
      </c>
      <c r="M251" s="10" t="s">
        <v>26</v>
      </c>
      <c r="N251" s="10">
        <v>675.38</v>
      </c>
      <c r="O251" s="27" t="s">
        <v>27</v>
      </c>
      <c r="P251" s="12" t="s">
        <v>48</v>
      </c>
      <c r="Q251" s="55" t="str">
        <f>IF(AND(Dmart_sales_data[[#This Row],[customer_type2]]="Member",OR(Dmart_sales_data[[#This Row],[payment_mode]]="UPI",Dmart_sales_data[[#This Row],[payment_mode]]="Card")),"yes","No")</f>
        <v>No</v>
      </c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</row>
    <row r="252" spans="1:28" ht="14.25" customHeight="1" x14ac:dyDescent="0.3">
      <c r="A252" s="13" t="s">
        <v>294</v>
      </c>
      <c r="B252" s="14" t="s">
        <v>24</v>
      </c>
      <c r="C252" s="14" t="s">
        <v>24</v>
      </c>
      <c r="D252" s="15" t="s">
        <v>19</v>
      </c>
      <c r="E252" s="15">
        <v>3831.6</v>
      </c>
      <c r="F252" s="5" t="str">
        <f>IF(Dmart_sales_data[[#This Row],[sales]]&gt;3000,"High Sales",IF(Dmart_sales_data[[#This Row],[sales]]&gt;1000,"Medium Sales","Low Sales"))</f>
        <v>High Sales</v>
      </c>
      <c r="G252" s="15">
        <v>0.43</v>
      </c>
      <c r="H252" s="15">
        <v>1</v>
      </c>
      <c r="I252" s="16">
        <v>45437</v>
      </c>
      <c r="J252" s="16">
        <v>45444</v>
      </c>
      <c r="K252" s="15" t="s">
        <v>15</v>
      </c>
      <c r="L252" s="15" t="s">
        <v>15</v>
      </c>
      <c r="M252" s="15" t="s">
        <v>21</v>
      </c>
      <c r="N252" s="15">
        <v>906.63</v>
      </c>
      <c r="O252" s="27" t="s">
        <v>17</v>
      </c>
      <c r="P252" s="17" t="s">
        <v>17</v>
      </c>
      <c r="Q252" s="55" t="str">
        <f>IF(AND(Dmart_sales_data[[#This Row],[customer_type2]]="Member",OR(Dmart_sales_data[[#This Row],[payment_mode]]="UPI",Dmart_sales_data[[#This Row],[payment_mode]]="Card")),"yes","No")</f>
        <v>yes</v>
      </c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</row>
    <row r="253" spans="1:28" ht="14.25" customHeight="1" x14ac:dyDescent="0.3">
      <c r="A253" s="8" t="s">
        <v>295</v>
      </c>
      <c r="B253" s="9" t="s">
        <v>29</v>
      </c>
      <c r="C253" s="9" t="s">
        <v>29</v>
      </c>
      <c r="D253" s="10" t="s">
        <v>14</v>
      </c>
      <c r="E253" s="10">
        <v>3720.16</v>
      </c>
      <c r="F253" s="5" t="str">
        <f>IF(Dmart_sales_data[[#This Row],[sales]]&gt;3000,"High Sales",IF(Dmart_sales_data[[#This Row],[sales]]&gt;1000,"Medium Sales","Low Sales"))</f>
        <v>High Sales</v>
      </c>
      <c r="G253" s="10">
        <v>0.01</v>
      </c>
      <c r="H253" s="10">
        <v>6</v>
      </c>
      <c r="I253" s="11">
        <v>45132</v>
      </c>
      <c r="J253" s="11">
        <v>45138</v>
      </c>
      <c r="K253" s="10" t="s">
        <v>32</v>
      </c>
      <c r="L253" s="10" t="s">
        <v>32</v>
      </c>
      <c r="M253" s="10" t="s">
        <v>21</v>
      </c>
      <c r="N253" s="10">
        <v>974.82</v>
      </c>
      <c r="O253" s="27" t="s">
        <v>100</v>
      </c>
      <c r="P253" s="12" t="s">
        <v>100</v>
      </c>
      <c r="Q253" s="55" t="str">
        <f>IF(AND(Dmart_sales_data[[#This Row],[customer_type2]]="Member",OR(Dmart_sales_data[[#This Row],[payment_mode]]="UPI",Dmart_sales_data[[#This Row],[payment_mode]]="Card")),"yes","No")</f>
        <v>No</v>
      </c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</row>
    <row r="254" spans="1:28" ht="14.25" customHeight="1" x14ac:dyDescent="0.3">
      <c r="A254" s="13" t="s">
        <v>296</v>
      </c>
      <c r="B254" s="14" t="s">
        <v>13</v>
      </c>
      <c r="C254" s="4" t="s">
        <v>13</v>
      </c>
      <c r="D254" s="15" t="s">
        <v>34</v>
      </c>
      <c r="E254" s="15">
        <v>3774.14</v>
      </c>
      <c r="F254" s="5" t="str">
        <f>IF(Dmart_sales_data[[#This Row],[sales]]&gt;3000,"High Sales",IF(Dmart_sales_data[[#This Row],[sales]]&gt;1000,"Medium Sales","Low Sales"))</f>
        <v>High Sales</v>
      </c>
      <c r="G254" s="15">
        <v>0.3</v>
      </c>
      <c r="H254" s="15">
        <v>6</v>
      </c>
      <c r="I254" s="16">
        <v>45297</v>
      </c>
      <c r="J254" s="16">
        <v>45299</v>
      </c>
      <c r="K254" s="15" t="s">
        <v>20</v>
      </c>
      <c r="L254" s="15" t="s">
        <v>20</v>
      </c>
      <c r="M254" s="15" t="s">
        <v>16</v>
      </c>
      <c r="N254" s="15">
        <v>268.47000000000003</v>
      </c>
      <c r="O254" s="27" t="s">
        <v>35</v>
      </c>
      <c r="P254" s="17" t="s">
        <v>30</v>
      </c>
      <c r="Q254" s="55" t="str">
        <f>IF(AND(Dmart_sales_data[[#This Row],[customer_type2]]="Member",OR(Dmart_sales_data[[#This Row],[payment_mode]]="UPI",Dmart_sales_data[[#This Row],[payment_mode]]="Card")),"yes","No")</f>
        <v>No</v>
      </c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</row>
    <row r="255" spans="1:28" ht="14.25" customHeight="1" x14ac:dyDescent="0.3">
      <c r="A255" s="8" t="s">
        <v>297</v>
      </c>
      <c r="B255" s="9" t="s">
        <v>576</v>
      </c>
      <c r="C255" s="9" t="s">
        <v>576</v>
      </c>
      <c r="D255" s="10" t="s">
        <v>14</v>
      </c>
      <c r="E255" s="10">
        <v>805.04</v>
      </c>
      <c r="F255" s="5" t="str">
        <f>IF(Dmart_sales_data[[#This Row],[sales]]&gt;3000,"High Sales",IF(Dmart_sales_data[[#This Row],[sales]]&gt;1000,"Medium Sales","Low Sales"))</f>
        <v>Low Sales</v>
      </c>
      <c r="G255" s="10">
        <v>0.48</v>
      </c>
      <c r="H255" s="10">
        <v>4</v>
      </c>
      <c r="I255" s="11">
        <v>45400</v>
      </c>
      <c r="J255" s="11">
        <v>45401</v>
      </c>
      <c r="K255" s="10" t="s">
        <v>15</v>
      </c>
      <c r="L255" s="10" t="s">
        <v>15</v>
      </c>
      <c r="M255" s="10" t="s">
        <v>26</v>
      </c>
      <c r="N255" s="10">
        <v>179.9</v>
      </c>
      <c r="O255" s="27" t="s">
        <v>79</v>
      </c>
      <c r="P255" s="12" t="s">
        <v>55</v>
      </c>
      <c r="Q255" s="55" t="str">
        <f>IF(AND(Dmart_sales_data[[#This Row],[customer_type2]]="Member",OR(Dmart_sales_data[[#This Row],[payment_mode]]="UPI",Dmart_sales_data[[#This Row],[payment_mode]]="Card")),"yes","No")</f>
        <v>No</v>
      </c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</row>
    <row r="256" spans="1:28" ht="14.25" customHeight="1" x14ac:dyDescent="0.3">
      <c r="A256" s="13" t="s">
        <v>298</v>
      </c>
      <c r="B256" s="14" t="s">
        <v>24</v>
      </c>
      <c r="C256" s="14" t="s">
        <v>24</v>
      </c>
      <c r="D256" s="15" t="s">
        <v>34</v>
      </c>
      <c r="E256" s="15">
        <v>585.57000000000005</v>
      </c>
      <c r="F256" s="5" t="str">
        <f>IF(Dmart_sales_data[[#This Row],[sales]]&gt;3000,"High Sales",IF(Dmart_sales_data[[#This Row],[sales]]&gt;1000,"Medium Sales","Low Sales"))</f>
        <v>Low Sales</v>
      </c>
      <c r="G256" s="15">
        <v>0.34</v>
      </c>
      <c r="H256" s="15">
        <v>8</v>
      </c>
      <c r="I256" s="16">
        <v>45318</v>
      </c>
      <c r="J256" s="16">
        <v>45321</v>
      </c>
      <c r="K256" s="15" t="s">
        <v>15</v>
      </c>
      <c r="L256" s="15" t="s">
        <v>15</v>
      </c>
      <c r="M256" s="15" t="s">
        <v>26</v>
      </c>
      <c r="N256" s="15">
        <v>51.66</v>
      </c>
      <c r="O256" s="27" t="s">
        <v>100</v>
      </c>
      <c r="P256" s="17" t="s">
        <v>65</v>
      </c>
      <c r="Q256" s="55" t="str">
        <f>IF(AND(Dmart_sales_data[[#This Row],[customer_type2]]="Member",OR(Dmart_sales_data[[#This Row],[payment_mode]]="UPI",Dmart_sales_data[[#This Row],[payment_mode]]="Card")),"yes","No")</f>
        <v>No</v>
      </c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</row>
    <row r="257" spans="1:28" ht="14.25" customHeight="1" x14ac:dyDescent="0.3">
      <c r="A257" s="8" t="s">
        <v>299</v>
      </c>
      <c r="B257" s="9" t="s">
        <v>29</v>
      </c>
      <c r="C257" s="9" t="s">
        <v>29</v>
      </c>
      <c r="D257" s="10" t="s">
        <v>19</v>
      </c>
      <c r="E257" s="10">
        <v>4321.34</v>
      </c>
      <c r="F257" s="5" t="str">
        <f>IF(Dmart_sales_data[[#This Row],[sales]]&gt;3000,"High Sales",IF(Dmart_sales_data[[#This Row],[sales]]&gt;1000,"Medium Sales","Low Sales"))</f>
        <v>High Sales</v>
      </c>
      <c r="G257" s="10">
        <v>0.05</v>
      </c>
      <c r="H257" s="10">
        <v>9</v>
      </c>
      <c r="I257" s="11">
        <v>45405</v>
      </c>
      <c r="J257" s="11">
        <v>45406</v>
      </c>
      <c r="K257" s="10" t="s">
        <v>15</v>
      </c>
      <c r="L257" s="10" t="s">
        <v>15</v>
      </c>
      <c r="M257" s="10" t="s">
        <v>16</v>
      </c>
      <c r="N257" s="10">
        <v>330.56</v>
      </c>
      <c r="O257" s="27" t="s">
        <v>35</v>
      </c>
      <c r="P257" s="12" t="s">
        <v>58</v>
      </c>
      <c r="Q257" s="55" t="str">
        <f>IF(AND(Dmart_sales_data[[#This Row],[customer_type2]]="Member",OR(Dmart_sales_data[[#This Row],[payment_mode]]="UPI",Dmart_sales_data[[#This Row],[payment_mode]]="Card")),"yes","No")</f>
        <v>yes</v>
      </c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</row>
    <row r="258" spans="1:28" ht="14.25" customHeight="1" x14ac:dyDescent="0.3">
      <c r="A258" s="13" t="s">
        <v>300</v>
      </c>
      <c r="B258" s="14" t="s">
        <v>13</v>
      </c>
      <c r="C258" s="4" t="s">
        <v>13</v>
      </c>
      <c r="D258" s="15" t="s">
        <v>37</v>
      </c>
      <c r="E258" s="15">
        <v>4202.16</v>
      </c>
      <c r="F258" s="5" t="str">
        <f>IF(Dmart_sales_data[[#This Row],[sales]]&gt;3000,"High Sales",IF(Dmart_sales_data[[#This Row],[sales]]&gt;1000,"Medium Sales","Low Sales"))</f>
        <v>High Sales</v>
      </c>
      <c r="G258" s="15">
        <v>0.37</v>
      </c>
      <c r="H258" s="15">
        <v>6</v>
      </c>
      <c r="I258" s="16">
        <v>45435</v>
      </c>
      <c r="J258" s="16">
        <v>45442</v>
      </c>
      <c r="K258" s="15" t="s">
        <v>15</v>
      </c>
      <c r="L258" s="15" t="s">
        <v>15</v>
      </c>
      <c r="M258" s="15" t="s">
        <v>16</v>
      </c>
      <c r="N258" s="15">
        <v>1096.27</v>
      </c>
      <c r="O258" s="27" t="s">
        <v>41</v>
      </c>
      <c r="P258" s="17" t="s">
        <v>41</v>
      </c>
      <c r="Q258" s="55" t="str">
        <f>IF(AND(Dmart_sales_data[[#This Row],[customer_type2]]="Member",OR(Dmart_sales_data[[#This Row],[payment_mode]]="UPI",Dmart_sales_data[[#This Row],[payment_mode]]="Card")),"yes","No")</f>
        <v>yes</v>
      </c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</row>
    <row r="259" spans="1:28" ht="14.25" customHeight="1" x14ac:dyDescent="0.3">
      <c r="A259" s="8" t="s">
        <v>301</v>
      </c>
      <c r="B259" s="9" t="s">
        <v>576</v>
      </c>
      <c r="C259" s="9" t="s">
        <v>576</v>
      </c>
      <c r="D259" s="10" t="s">
        <v>19</v>
      </c>
      <c r="E259" s="10">
        <v>3438.46</v>
      </c>
      <c r="F259" s="5" t="str">
        <f>IF(Dmart_sales_data[[#This Row],[sales]]&gt;3000,"High Sales",IF(Dmart_sales_data[[#This Row],[sales]]&gt;1000,"Medium Sales","Low Sales"))</f>
        <v>High Sales</v>
      </c>
      <c r="G259" s="10">
        <v>0.19</v>
      </c>
      <c r="H259" s="10">
        <v>8</v>
      </c>
      <c r="I259" s="11">
        <v>44983</v>
      </c>
      <c r="J259" s="11">
        <v>44986</v>
      </c>
      <c r="K259" s="10" t="s">
        <v>20</v>
      </c>
      <c r="L259" s="10" t="s">
        <v>20</v>
      </c>
      <c r="M259" s="10" t="s">
        <v>26</v>
      </c>
      <c r="N259" s="10">
        <v>848.11</v>
      </c>
      <c r="O259" s="27" t="s">
        <v>27</v>
      </c>
      <c r="P259" s="12" t="s">
        <v>39</v>
      </c>
      <c r="Q259" s="55" t="str">
        <f>IF(AND(Dmart_sales_data[[#This Row],[customer_type2]]="Member",OR(Dmart_sales_data[[#This Row],[payment_mode]]="UPI",Dmart_sales_data[[#This Row],[payment_mode]]="Card")),"yes","No")</f>
        <v>No</v>
      </c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</row>
    <row r="260" spans="1:28" ht="14.25" customHeight="1" x14ac:dyDescent="0.3">
      <c r="A260" s="13" t="s">
        <v>302</v>
      </c>
      <c r="B260" s="14" t="s">
        <v>24</v>
      </c>
      <c r="C260" s="14" t="s">
        <v>24</v>
      </c>
      <c r="D260" s="15" t="s">
        <v>25</v>
      </c>
      <c r="E260" s="15">
        <v>3068.94</v>
      </c>
      <c r="F260" s="5" t="str">
        <f>IF(Dmart_sales_data[[#This Row],[sales]]&gt;3000,"High Sales",IF(Dmart_sales_data[[#This Row],[sales]]&gt;1000,"Medium Sales","Low Sales"))</f>
        <v>High Sales</v>
      </c>
      <c r="G260" s="15">
        <v>0.46</v>
      </c>
      <c r="H260" s="15">
        <v>8</v>
      </c>
      <c r="I260" s="16">
        <v>44993</v>
      </c>
      <c r="J260" s="16">
        <v>44998</v>
      </c>
      <c r="K260" s="15" t="s">
        <v>20</v>
      </c>
      <c r="L260" s="15" t="s">
        <v>20</v>
      </c>
      <c r="M260" s="15" t="s">
        <v>21</v>
      </c>
      <c r="N260" s="15">
        <v>726.26</v>
      </c>
      <c r="O260" s="27" t="s">
        <v>79</v>
      </c>
      <c r="P260" s="17" t="s">
        <v>22</v>
      </c>
      <c r="Q260" s="55" t="str">
        <f>IF(AND(Dmart_sales_data[[#This Row],[customer_type2]]="Member",OR(Dmart_sales_data[[#This Row],[payment_mode]]="UPI",Dmart_sales_data[[#This Row],[payment_mode]]="Card")),"yes","No")</f>
        <v>No</v>
      </c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</row>
    <row r="261" spans="1:28" ht="14.25" customHeight="1" x14ac:dyDescent="0.3">
      <c r="A261" s="8" t="s">
        <v>303</v>
      </c>
      <c r="B261" s="9" t="s">
        <v>29</v>
      </c>
      <c r="C261" s="9" t="s">
        <v>29</v>
      </c>
      <c r="D261" s="10" t="s">
        <v>25</v>
      </c>
      <c r="E261" s="10">
        <v>1897.67</v>
      </c>
      <c r="F261" s="5" t="str">
        <f>IF(Dmart_sales_data[[#This Row],[sales]]&gt;3000,"High Sales",IF(Dmart_sales_data[[#This Row],[sales]]&gt;1000,"Medium Sales","Low Sales"))</f>
        <v>Medium Sales</v>
      </c>
      <c r="G261" s="10">
        <v>0.14000000000000001</v>
      </c>
      <c r="H261" s="10">
        <v>2</v>
      </c>
      <c r="I261" s="11">
        <v>44954</v>
      </c>
      <c r="J261" s="11">
        <v>44959</v>
      </c>
      <c r="K261" s="10" t="s">
        <v>32</v>
      </c>
      <c r="L261" s="10" t="s">
        <v>32</v>
      </c>
      <c r="M261" s="10" t="s">
        <v>16</v>
      </c>
      <c r="N261" s="10">
        <v>106.36</v>
      </c>
      <c r="O261" s="27" t="s">
        <v>41</v>
      </c>
      <c r="P261" s="12" t="s">
        <v>41</v>
      </c>
      <c r="Q261" s="55" t="str">
        <f>IF(AND(Dmart_sales_data[[#This Row],[customer_type2]]="Member",OR(Dmart_sales_data[[#This Row],[payment_mode]]="UPI",Dmart_sales_data[[#This Row],[payment_mode]]="Card")),"yes","No")</f>
        <v>No</v>
      </c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</row>
    <row r="262" spans="1:28" ht="14.25" customHeight="1" x14ac:dyDescent="0.3">
      <c r="A262" s="13" t="s">
        <v>304</v>
      </c>
      <c r="B262" s="14" t="s">
        <v>13</v>
      </c>
      <c r="C262" s="4" t="s">
        <v>13</v>
      </c>
      <c r="D262" s="15" t="s">
        <v>34</v>
      </c>
      <c r="E262" s="15">
        <v>1198</v>
      </c>
      <c r="F262" s="5" t="str">
        <f>IF(Dmart_sales_data[[#This Row],[sales]]&gt;3000,"High Sales",IF(Dmart_sales_data[[#This Row],[sales]]&gt;1000,"Medium Sales","Low Sales"))</f>
        <v>Medium Sales</v>
      </c>
      <c r="G262" s="15">
        <v>0.24</v>
      </c>
      <c r="H262" s="15">
        <v>4</v>
      </c>
      <c r="I262" s="16">
        <v>45580</v>
      </c>
      <c r="J262" s="16">
        <v>45587</v>
      </c>
      <c r="K262" s="15" t="s">
        <v>20</v>
      </c>
      <c r="L262" s="15" t="s">
        <v>20</v>
      </c>
      <c r="M262" s="15" t="s">
        <v>21</v>
      </c>
      <c r="N262" s="15">
        <v>136.83000000000001</v>
      </c>
      <c r="O262" s="27" t="s">
        <v>35</v>
      </c>
      <c r="P262" s="17" t="s">
        <v>30</v>
      </c>
      <c r="Q262" s="55" t="str">
        <f>IF(AND(Dmart_sales_data[[#This Row],[customer_type2]]="Member",OR(Dmart_sales_data[[#This Row],[payment_mode]]="UPI",Dmart_sales_data[[#This Row],[payment_mode]]="Card")),"yes","No")</f>
        <v>No</v>
      </c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</row>
    <row r="263" spans="1:28" ht="14.25" customHeight="1" x14ac:dyDescent="0.3">
      <c r="A263" s="8" t="s">
        <v>305</v>
      </c>
      <c r="B263" s="9" t="s">
        <v>576</v>
      </c>
      <c r="C263" s="9" t="s">
        <v>576</v>
      </c>
      <c r="D263" s="10" t="s">
        <v>25</v>
      </c>
      <c r="E263" s="10">
        <v>3371.52</v>
      </c>
      <c r="F263" s="5" t="str">
        <f>IF(Dmart_sales_data[[#This Row],[sales]]&gt;3000,"High Sales",IF(Dmart_sales_data[[#This Row],[sales]]&gt;1000,"Medium Sales","Low Sales"))</f>
        <v>High Sales</v>
      </c>
      <c r="G263" s="10">
        <v>0.37</v>
      </c>
      <c r="H263" s="10">
        <v>1</v>
      </c>
      <c r="I263" s="11">
        <v>45577</v>
      </c>
      <c r="J263" s="11">
        <v>45583</v>
      </c>
      <c r="K263" s="10" t="s">
        <v>15</v>
      </c>
      <c r="L263" s="10" t="s">
        <v>15</v>
      </c>
      <c r="M263" s="10" t="s">
        <v>21</v>
      </c>
      <c r="N263" s="10">
        <v>531.95000000000005</v>
      </c>
      <c r="O263" s="27" t="s">
        <v>79</v>
      </c>
      <c r="P263" s="12" t="s">
        <v>79</v>
      </c>
      <c r="Q263" s="55" t="str">
        <f>IF(AND(Dmart_sales_data[[#This Row],[customer_type2]]="Member",OR(Dmart_sales_data[[#This Row],[payment_mode]]="UPI",Dmart_sales_data[[#This Row],[payment_mode]]="Card")),"yes","No")</f>
        <v>yes</v>
      </c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</row>
    <row r="264" spans="1:28" ht="14.25" customHeight="1" x14ac:dyDescent="0.3">
      <c r="A264" s="13" t="s">
        <v>306</v>
      </c>
      <c r="B264" s="14" t="s">
        <v>24</v>
      </c>
      <c r="C264" s="14" t="s">
        <v>24</v>
      </c>
      <c r="D264" s="15" t="s">
        <v>19</v>
      </c>
      <c r="E264" s="15">
        <v>4573.87</v>
      </c>
      <c r="F264" s="5" t="str">
        <f>IF(Dmart_sales_data[[#This Row],[sales]]&gt;3000,"High Sales",IF(Dmart_sales_data[[#This Row],[sales]]&gt;1000,"Medium Sales","Low Sales"))</f>
        <v>High Sales</v>
      </c>
      <c r="G264" s="15">
        <v>0.13</v>
      </c>
      <c r="H264" s="15">
        <v>1</v>
      </c>
      <c r="I264" s="16">
        <v>45158</v>
      </c>
      <c r="J264" s="16">
        <v>45161</v>
      </c>
      <c r="K264" s="15" t="s">
        <v>15</v>
      </c>
      <c r="L264" s="15" t="s">
        <v>15</v>
      </c>
      <c r="M264" s="15" t="s">
        <v>26</v>
      </c>
      <c r="N264" s="15">
        <v>1235</v>
      </c>
      <c r="O264" s="27" t="s">
        <v>100</v>
      </c>
      <c r="P264" s="17" t="s">
        <v>65</v>
      </c>
      <c r="Q264" s="55" t="str">
        <f>IF(AND(Dmart_sales_data[[#This Row],[customer_type2]]="Member",OR(Dmart_sales_data[[#This Row],[payment_mode]]="UPI",Dmart_sales_data[[#This Row],[payment_mode]]="Card")),"yes","No")</f>
        <v>No</v>
      </c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</row>
    <row r="265" spans="1:28" ht="14.25" customHeight="1" x14ac:dyDescent="0.3">
      <c r="A265" s="8" t="s">
        <v>307</v>
      </c>
      <c r="B265" s="9" t="s">
        <v>29</v>
      </c>
      <c r="C265" s="9" t="s">
        <v>29</v>
      </c>
      <c r="D265" s="10" t="s">
        <v>14</v>
      </c>
      <c r="E265" s="10">
        <v>2241.2800000000002</v>
      </c>
      <c r="F265" s="5" t="str">
        <f>IF(Dmart_sales_data[[#This Row],[sales]]&gt;3000,"High Sales",IF(Dmart_sales_data[[#This Row],[sales]]&gt;1000,"Medium Sales","Low Sales"))</f>
        <v>Medium Sales</v>
      </c>
      <c r="G265" s="10">
        <v>0.09</v>
      </c>
      <c r="H265" s="10">
        <v>6</v>
      </c>
      <c r="I265" s="11">
        <v>45033</v>
      </c>
      <c r="J265" s="11">
        <v>45038</v>
      </c>
      <c r="K265" s="10" t="s">
        <v>15</v>
      </c>
      <c r="L265" s="10" t="s">
        <v>15</v>
      </c>
      <c r="M265" s="10" t="s">
        <v>21</v>
      </c>
      <c r="N265" s="10">
        <v>405.21</v>
      </c>
      <c r="O265" s="27" t="s">
        <v>27</v>
      </c>
      <c r="P265" s="12" t="s">
        <v>39</v>
      </c>
      <c r="Q265" s="55" t="str">
        <f>IF(AND(Dmart_sales_data[[#This Row],[customer_type2]]="Member",OR(Dmart_sales_data[[#This Row],[payment_mode]]="UPI",Dmart_sales_data[[#This Row],[payment_mode]]="Card")),"yes","No")</f>
        <v>yes</v>
      </c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</row>
    <row r="266" spans="1:28" ht="14.25" customHeight="1" x14ac:dyDescent="0.3">
      <c r="A266" s="13" t="s">
        <v>308</v>
      </c>
      <c r="B266" s="14" t="s">
        <v>13</v>
      </c>
      <c r="C266" s="4" t="s">
        <v>13</v>
      </c>
      <c r="D266" s="15" t="s">
        <v>19</v>
      </c>
      <c r="E266" s="15">
        <v>1585.74</v>
      </c>
      <c r="F266" s="5" t="str">
        <f>IF(Dmart_sales_data[[#This Row],[sales]]&gt;3000,"High Sales",IF(Dmart_sales_data[[#This Row],[sales]]&gt;1000,"Medium Sales","Low Sales"))</f>
        <v>Medium Sales</v>
      </c>
      <c r="G266" s="15">
        <v>0</v>
      </c>
      <c r="H266" s="15">
        <v>7</v>
      </c>
      <c r="I266" s="16">
        <v>45063</v>
      </c>
      <c r="J266" s="16">
        <v>45066</v>
      </c>
      <c r="K266" s="15" t="s">
        <v>15</v>
      </c>
      <c r="L266" s="15" t="s">
        <v>15</v>
      </c>
      <c r="M266" s="15" t="s">
        <v>21</v>
      </c>
      <c r="N266" s="15">
        <v>276.95999999999998</v>
      </c>
      <c r="O266" s="27" t="s">
        <v>100</v>
      </c>
      <c r="P266" s="17" t="s">
        <v>100</v>
      </c>
      <c r="Q266" s="55" t="str">
        <f>IF(AND(Dmart_sales_data[[#This Row],[customer_type2]]="Member",OR(Dmart_sales_data[[#This Row],[payment_mode]]="UPI",Dmart_sales_data[[#This Row],[payment_mode]]="Card")),"yes","No")</f>
        <v>yes</v>
      </c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</row>
    <row r="267" spans="1:28" ht="14.25" customHeight="1" x14ac:dyDescent="0.3">
      <c r="A267" s="8" t="s">
        <v>309</v>
      </c>
      <c r="B267" s="9" t="s">
        <v>576</v>
      </c>
      <c r="C267" s="9" t="s">
        <v>576</v>
      </c>
      <c r="D267" s="10" t="s">
        <v>34</v>
      </c>
      <c r="E267" s="10">
        <v>1426.63</v>
      </c>
      <c r="F267" s="5" t="str">
        <f>IF(Dmart_sales_data[[#This Row],[sales]]&gt;3000,"High Sales",IF(Dmart_sales_data[[#This Row],[sales]]&gt;1000,"Medium Sales","Low Sales"))</f>
        <v>Medium Sales</v>
      </c>
      <c r="G267" s="10">
        <v>0.24</v>
      </c>
      <c r="H267" s="10">
        <v>5</v>
      </c>
      <c r="I267" s="11">
        <v>45304</v>
      </c>
      <c r="J267" s="11">
        <v>45311</v>
      </c>
      <c r="K267" s="10" t="s">
        <v>20</v>
      </c>
      <c r="L267" s="10" t="s">
        <v>20</v>
      </c>
      <c r="M267" s="10" t="s">
        <v>26</v>
      </c>
      <c r="N267" s="10">
        <v>72.98</v>
      </c>
      <c r="O267" s="27" t="s">
        <v>41</v>
      </c>
      <c r="P267" s="12" t="s">
        <v>41</v>
      </c>
      <c r="Q267" s="55" t="str">
        <f>IF(AND(Dmart_sales_data[[#This Row],[customer_type2]]="Member",OR(Dmart_sales_data[[#This Row],[payment_mode]]="UPI",Dmart_sales_data[[#This Row],[payment_mode]]="Card")),"yes","No")</f>
        <v>No</v>
      </c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</row>
    <row r="268" spans="1:28" ht="14.25" customHeight="1" x14ac:dyDescent="0.3">
      <c r="A268" s="13" t="s">
        <v>310</v>
      </c>
      <c r="B268" s="14" t="s">
        <v>24</v>
      </c>
      <c r="C268" s="14" t="s">
        <v>24</v>
      </c>
      <c r="D268" s="15" t="s">
        <v>25</v>
      </c>
      <c r="E268" s="15">
        <v>216.16</v>
      </c>
      <c r="F268" s="5" t="str">
        <f>IF(Dmart_sales_data[[#This Row],[sales]]&gt;3000,"High Sales",IF(Dmart_sales_data[[#This Row],[sales]]&gt;1000,"Medium Sales","Low Sales"))</f>
        <v>Low Sales</v>
      </c>
      <c r="G268" s="15">
        <v>0.46</v>
      </c>
      <c r="H268" s="15">
        <v>8</v>
      </c>
      <c r="I268" s="16">
        <v>45602</v>
      </c>
      <c r="J268" s="16">
        <v>45608</v>
      </c>
      <c r="K268" s="15" t="s">
        <v>20</v>
      </c>
      <c r="L268" s="15" t="s">
        <v>20</v>
      </c>
      <c r="M268" s="15" t="s">
        <v>16</v>
      </c>
      <c r="N268" s="15">
        <v>55.65</v>
      </c>
      <c r="O268" s="27" t="s">
        <v>41</v>
      </c>
      <c r="P268" s="17" t="s">
        <v>41</v>
      </c>
      <c r="Q268" s="55" t="str">
        <f>IF(AND(Dmart_sales_data[[#This Row],[customer_type2]]="Member",OR(Dmart_sales_data[[#This Row],[payment_mode]]="UPI",Dmart_sales_data[[#This Row],[payment_mode]]="Card")),"yes","No")</f>
        <v>No</v>
      </c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</row>
    <row r="269" spans="1:28" ht="14.25" customHeight="1" x14ac:dyDescent="0.3">
      <c r="A269" s="8" t="s">
        <v>311</v>
      </c>
      <c r="B269" s="9" t="s">
        <v>29</v>
      </c>
      <c r="C269" s="9" t="s">
        <v>29</v>
      </c>
      <c r="D269" s="10" t="s">
        <v>14</v>
      </c>
      <c r="E269" s="10">
        <v>2649.55</v>
      </c>
      <c r="F269" s="5" t="str">
        <f>IF(Dmart_sales_data[[#This Row],[sales]]&gt;3000,"High Sales",IF(Dmart_sales_data[[#This Row],[sales]]&gt;1000,"Medium Sales","Low Sales"))</f>
        <v>Medium Sales</v>
      </c>
      <c r="G269" s="10">
        <v>0.14000000000000001</v>
      </c>
      <c r="H269" s="10">
        <v>9</v>
      </c>
      <c r="I269" s="11">
        <v>45585</v>
      </c>
      <c r="J269" s="11">
        <v>45591</v>
      </c>
      <c r="K269" s="10" t="s">
        <v>32</v>
      </c>
      <c r="L269" s="10" t="s">
        <v>32</v>
      </c>
      <c r="M269" s="10" t="s">
        <v>21</v>
      </c>
      <c r="N269" s="10">
        <v>520.04</v>
      </c>
      <c r="O269" s="27" t="s">
        <v>41</v>
      </c>
      <c r="P269" s="12" t="s">
        <v>41</v>
      </c>
      <c r="Q269" s="55" t="str">
        <f>IF(AND(Dmart_sales_data[[#This Row],[customer_type2]]="Member",OR(Dmart_sales_data[[#This Row],[payment_mode]]="UPI",Dmart_sales_data[[#This Row],[payment_mode]]="Card")),"yes","No")</f>
        <v>No</v>
      </c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</row>
    <row r="270" spans="1:28" ht="14.25" customHeight="1" x14ac:dyDescent="0.3">
      <c r="A270" s="13" t="s">
        <v>312</v>
      </c>
      <c r="B270" s="14" t="s">
        <v>13</v>
      </c>
      <c r="C270" s="4" t="s">
        <v>13</v>
      </c>
      <c r="D270" s="15" t="s">
        <v>37</v>
      </c>
      <c r="E270" s="15">
        <v>4942.3599999999997</v>
      </c>
      <c r="F270" s="5" t="str">
        <f>IF(Dmart_sales_data[[#This Row],[sales]]&gt;3000,"High Sales",IF(Dmart_sales_data[[#This Row],[sales]]&gt;1000,"Medium Sales","Low Sales"))</f>
        <v>High Sales</v>
      </c>
      <c r="G270" s="15">
        <v>0.02</v>
      </c>
      <c r="H270" s="15">
        <v>4</v>
      </c>
      <c r="I270" s="16">
        <v>45317</v>
      </c>
      <c r="J270" s="16">
        <v>45323</v>
      </c>
      <c r="K270" s="15" t="s">
        <v>20</v>
      </c>
      <c r="L270" s="15" t="s">
        <v>20</v>
      </c>
      <c r="M270" s="15" t="s">
        <v>16</v>
      </c>
      <c r="N270" s="15">
        <v>705.97</v>
      </c>
      <c r="O270" s="27" t="s">
        <v>17</v>
      </c>
      <c r="P270" s="17" t="s">
        <v>52</v>
      </c>
      <c r="Q270" s="55" t="str">
        <f>IF(AND(Dmart_sales_data[[#This Row],[customer_type2]]="Member",OR(Dmart_sales_data[[#This Row],[payment_mode]]="UPI",Dmart_sales_data[[#This Row],[payment_mode]]="Card")),"yes","No")</f>
        <v>No</v>
      </c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</row>
    <row r="271" spans="1:28" ht="14.25" customHeight="1" x14ac:dyDescent="0.3">
      <c r="A271" s="8" t="s">
        <v>313</v>
      </c>
      <c r="B271" s="9" t="s">
        <v>576</v>
      </c>
      <c r="C271" s="9" t="s">
        <v>576</v>
      </c>
      <c r="D271" s="10" t="s">
        <v>14</v>
      </c>
      <c r="E271" s="10">
        <v>4094.66</v>
      </c>
      <c r="F271" s="5" t="str">
        <f>IF(Dmart_sales_data[[#This Row],[sales]]&gt;3000,"High Sales",IF(Dmart_sales_data[[#This Row],[sales]]&gt;1000,"Medium Sales","Low Sales"))</f>
        <v>High Sales</v>
      </c>
      <c r="G271" s="10">
        <v>0.31</v>
      </c>
      <c r="H271" s="10">
        <v>1</v>
      </c>
      <c r="I271" s="11">
        <v>45617</v>
      </c>
      <c r="J271" s="11">
        <v>45622</v>
      </c>
      <c r="K271" s="10" t="s">
        <v>15</v>
      </c>
      <c r="L271" s="10" t="s">
        <v>15</v>
      </c>
      <c r="M271" s="10" t="s">
        <v>26</v>
      </c>
      <c r="N271" s="10">
        <v>369.04</v>
      </c>
      <c r="O271" s="27" t="s">
        <v>79</v>
      </c>
      <c r="P271" s="12" t="s">
        <v>79</v>
      </c>
      <c r="Q271" s="55" t="str">
        <f>IF(AND(Dmart_sales_data[[#This Row],[customer_type2]]="Member",OR(Dmart_sales_data[[#This Row],[payment_mode]]="UPI",Dmart_sales_data[[#This Row],[payment_mode]]="Card")),"yes","No")</f>
        <v>No</v>
      </c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</row>
    <row r="272" spans="1:28" ht="14.25" customHeight="1" x14ac:dyDescent="0.3">
      <c r="A272" s="13" t="s">
        <v>314</v>
      </c>
      <c r="B272" s="14" t="s">
        <v>24</v>
      </c>
      <c r="C272" s="14" t="s">
        <v>24</v>
      </c>
      <c r="D272" s="15" t="s">
        <v>14</v>
      </c>
      <c r="E272" s="15">
        <v>4497.63</v>
      </c>
      <c r="F272" s="5" t="str">
        <f>IF(Dmart_sales_data[[#This Row],[sales]]&gt;3000,"High Sales",IF(Dmart_sales_data[[#This Row],[sales]]&gt;1000,"Medium Sales","Low Sales"))</f>
        <v>High Sales</v>
      </c>
      <c r="G272" s="15">
        <v>0.03</v>
      </c>
      <c r="H272" s="15">
        <v>6</v>
      </c>
      <c r="I272" s="16">
        <v>45525</v>
      </c>
      <c r="J272" s="16">
        <v>45531</v>
      </c>
      <c r="K272" s="15" t="s">
        <v>15</v>
      </c>
      <c r="L272" s="15" t="s">
        <v>15</v>
      </c>
      <c r="M272" s="15" t="s">
        <v>26</v>
      </c>
      <c r="N272" s="15">
        <v>696.38</v>
      </c>
      <c r="O272" s="27" t="s">
        <v>35</v>
      </c>
      <c r="P272" s="17" t="s">
        <v>30</v>
      </c>
      <c r="Q272" s="55" t="str">
        <f>IF(AND(Dmart_sales_data[[#This Row],[customer_type2]]="Member",OR(Dmart_sales_data[[#This Row],[payment_mode]]="UPI",Dmart_sales_data[[#This Row],[payment_mode]]="Card")),"yes","No")</f>
        <v>No</v>
      </c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</row>
    <row r="273" spans="1:28" ht="14.25" customHeight="1" x14ac:dyDescent="0.3">
      <c r="A273" s="8" t="s">
        <v>315</v>
      </c>
      <c r="B273" s="9" t="s">
        <v>29</v>
      </c>
      <c r="C273" s="9" t="s">
        <v>29</v>
      </c>
      <c r="D273" s="10" t="s">
        <v>19</v>
      </c>
      <c r="E273" s="10">
        <v>3143.7</v>
      </c>
      <c r="F273" s="5" t="str">
        <f>IF(Dmart_sales_data[[#This Row],[sales]]&gt;3000,"High Sales",IF(Dmart_sales_data[[#This Row],[sales]]&gt;1000,"Medium Sales","Low Sales"))</f>
        <v>High Sales</v>
      </c>
      <c r="G273" s="10">
        <v>0.25</v>
      </c>
      <c r="H273" s="10">
        <v>1</v>
      </c>
      <c r="I273" s="11">
        <v>45002</v>
      </c>
      <c r="J273" s="11">
        <v>45006</v>
      </c>
      <c r="K273" s="10" t="s">
        <v>20</v>
      </c>
      <c r="L273" s="10" t="s">
        <v>20</v>
      </c>
      <c r="M273" s="10" t="s">
        <v>26</v>
      </c>
      <c r="N273" s="10">
        <v>344.8</v>
      </c>
      <c r="O273" s="27" t="s">
        <v>35</v>
      </c>
      <c r="P273" s="12" t="s">
        <v>30</v>
      </c>
      <c r="Q273" s="55" t="str">
        <f>IF(AND(Dmart_sales_data[[#This Row],[customer_type2]]="Member",OR(Dmart_sales_data[[#This Row],[payment_mode]]="UPI",Dmart_sales_data[[#This Row],[payment_mode]]="Card")),"yes","No")</f>
        <v>No</v>
      </c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</row>
    <row r="274" spans="1:28" ht="14.25" customHeight="1" x14ac:dyDescent="0.3">
      <c r="A274" s="13" t="s">
        <v>316</v>
      </c>
      <c r="B274" s="14" t="s">
        <v>13</v>
      </c>
      <c r="C274" s="4" t="s">
        <v>13</v>
      </c>
      <c r="D274" s="15" t="s">
        <v>37</v>
      </c>
      <c r="E274" s="15">
        <v>2459.09</v>
      </c>
      <c r="F274" s="5" t="str">
        <f>IF(Dmart_sales_data[[#This Row],[sales]]&gt;3000,"High Sales",IF(Dmart_sales_data[[#This Row],[sales]]&gt;1000,"Medium Sales","Low Sales"))</f>
        <v>Medium Sales</v>
      </c>
      <c r="G274" s="15">
        <v>0.19</v>
      </c>
      <c r="H274" s="15">
        <v>2</v>
      </c>
      <c r="I274" s="16">
        <v>45381</v>
      </c>
      <c r="J274" s="16">
        <v>45388</v>
      </c>
      <c r="K274" s="15" t="s">
        <v>32</v>
      </c>
      <c r="L274" s="15" t="s">
        <v>32</v>
      </c>
      <c r="M274" s="15" t="s">
        <v>26</v>
      </c>
      <c r="N274" s="15">
        <v>399.72</v>
      </c>
      <c r="O274" s="27" t="s">
        <v>100</v>
      </c>
      <c r="P274" s="17" t="s">
        <v>65</v>
      </c>
      <c r="Q274" s="55" t="str">
        <f>IF(AND(Dmart_sales_data[[#This Row],[customer_type2]]="Member",OR(Dmart_sales_data[[#This Row],[payment_mode]]="UPI",Dmart_sales_data[[#This Row],[payment_mode]]="Card")),"yes","No")</f>
        <v>No</v>
      </c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</row>
    <row r="275" spans="1:28" ht="14.25" customHeight="1" x14ac:dyDescent="0.3">
      <c r="A275" s="8" t="s">
        <v>317</v>
      </c>
      <c r="B275" s="9" t="s">
        <v>576</v>
      </c>
      <c r="C275" s="9" t="s">
        <v>576</v>
      </c>
      <c r="D275" s="10" t="s">
        <v>34</v>
      </c>
      <c r="E275" s="10">
        <v>4953.24</v>
      </c>
      <c r="F275" s="5" t="str">
        <f>IF(Dmart_sales_data[[#This Row],[sales]]&gt;3000,"High Sales",IF(Dmart_sales_data[[#This Row],[sales]]&gt;1000,"Medium Sales","Low Sales"))</f>
        <v>High Sales</v>
      </c>
      <c r="G275" s="10">
        <v>0.24</v>
      </c>
      <c r="H275" s="10">
        <v>4</v>
      </c>
      <c r="I275" s="11">
        <v>45271</v>
      </c>
      <c r="J275" s="11">
        <v>45273</v>
      </c>
      <c r="K275" s="10" t="s">
        <v>32</v>
      </c>
      <c r="L275" s="10" t="s">
        <v>32</v>
      </c>
      <c r="M275" s="10" t="s">
        <v>26</v>
      </c>
      <c r="N275" s="10">
        <v>627.20000000000005</v>
      </c>
      <c r="O275" s="27" t="s">
        <v>100</v>
      </c>
      <c r="P275" s="12" t="s">
        <v>100</v>
      </c>
      <c r="Q275" s="55" t="str">
        <f>IF(AND(Dmart_sales_data[[#This Row],[customer_type2]]="Member",OR(Dmart_sales_data[[#This Row],[payment_mode]]="UPI",Dmart_sales_data[[#This Row],[payment_mode]]="Card")),"yes","No")</f>
        <v>No</v>
      </c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</row>
    <row r="276" spans="1:28" ht="14.25" customHeight="1" x14ac:dyDescent="0.3">
      <c r="A276" s="13" t="s">
        <v>318</v>
      </c>
      <c r="B276" s="14" t="s">
        <v>24</v>
      </c>
      <c r="C276" s="14" t="s">
        <v>24</v>
      </c>
      <c r="D276" s="15" t="s">
        <v>34</v>
      </c>
      <c r="E276" s="15">
        <v>2291.09</v>
      </c>
      <c r="F276" s="5" t="str">
        <f>IF(Dmart_sales_data[[#This Row],[sales]]&gt;3000,"High Sales",IF(Dmart_sales_data[[#This Row],[sales]]&gt;1000,"Medium Sales","Low Sales"))</f>
        <v>Medium Sales</v>
      </c>
      <c r="G276" s="15">
        <v>0.08</v>
      </c>
      <c r="H276" s="15">
        <v>4</v>
      </c>
      <c r="I276" s="16">
        <v>45516</v>
      </c>
      <c r="J276" s="16">
        <v>45521</v>
      </c>
      <c r="K276" s="15" t="s">
        <v>20</v>
      </c>
      <c r="L276" s="15" t="s">
        <v>20</v>
      </c>
      <c r="M276" s="15" t="s">
        <v>16</v>
      </c>
      <c r="N276" s="15">
        <v>139.74</v>
      </c>
      <c r="O276" s="27" t="s">
        <v>100</v>
      </c>
      <c r="P276" s="17" t="s">
        <v>65</v>
      </c>
      <c r="Q276" s="55" t="str">
        <f>IF(AND(Dmart_sales_data[[#This Row],[customer_type2]]="Member",OR(Dmart_sales_data[[#This Row],[payment_mode]]="UPI",Dmart_sales_data[[#This Row],[payment_mode]]="Card")),"yes","No")</f>
        <v>No</v>
      </c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</row>
    <row r="277" spans="1:28" ht="14.25" customHeight="1" x14ac:dyDescent="0.3">
      <c r="A277" s="8" t="s">
        <v>319</v>
      </c>
      <c r="B277" s="9" t="s">
        <v>29</v>
      </c>
      <c r="C277" s="9" t="s">
        <v>29</v>
      </c>
      <c r="D277" s="10" t="s">
        <v>14</v>
      </c>
      <c r="E277" s="10">
        <v>4592.47</v>
      </c>
      <c r="F277" s="5" t="str">
        <f>IF(Dmart_sales_data[[#This Row],[sales]]&gt;3000,"High Sales",IF(Dmart_sales_data[[#This Row],[sales]]&gt;1000,"Medium Sales","Low Sales"))</f>
        <v>High Sales</v>
      </c>
      <c r="G277" s="10">
        <v>0.05</v>
      </c>
      <c r="H277" s="10">
        <v>6</v>
      </c>
      <c r="I277" s="11">
        <v>45496</v>
      </c>
      <c r="J277" s="11">
        <v>45501</v>
      </c>
      <c r="K277" s="10" t="s">
        <v>20</v>
      </c>
      <c r="L277" s="10" t="s">
        <v>20</v>
      </c>
      <c r="M277" s="10" t="s">
        <v>16</v>
      </c>
      <c r="N277" s="10">
        <v>1369.07</v>
      </c>
      <c r="O277" s="27" t="s">
        <v>100</v>
      </c>
      <c r="P277" s="12" t="s">
        <v>100</v>
      </c>
      <c r="Q277" s="55" t="str">
        <f>IF(AND(Dmart_sales_data[[#This Row],[customer_type2]]="Member",OR(Dmart_sales_data[[#This Row],[payment_mode]]="UPI",Dmart_sales_data[[#This Row],[payment_mode]]="Card")),"yes","No")</f>
        <v>No</v>
      </c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</row>
    <row r="278" spans="1:28" ht="14.25" customHeight="1" x14ac:dyDescent="0.3">
      <c r="A278" s="13" t="s">
        <v>320</v>
      </c>
      <c r="B278" s="14" t="s">
        <v>13</v>
      </c>
      <c r="C278" s="4" t="s">
        <v>13</v>
      </c>
      <c r="D278" s="15" t="s">
        <v>14</v>
      </c>
      <c r="E278" s="15">
        <v>3833.04</v>
      </c>
      <c r="F278" s="5" t="str">
        <f>IF(Dmart_sales_data[[#This Row],[sales]]&gt;3000,"High Sales",IF(Dmart_sales_data[[#This Row],[sales]]&gt;1000,"Medium Sales","Low Sales"))</f>
        <v>High Sales</v>
      </c>
      <c r="G278" s="15">
        <v>0.37</v>
      </c>
      <c r="H278" s="15">
        <v>8</v>
      </c>
      <c r="I278" s="16">
        <v>45641</v>
      </c>
      <c r="J278" s="16">
        <v>45645</v>
      </c>
      <c r="K278" s="15" t="s">
        <v>20</v>
      </c>
      <c r="L278" s="15" t="s">
        <v>20</v>
      </c>
      <c r="M278" s="15" t="s">
        <v>26</v>
      </c>
      <c r="N278" s="15">
        <v>620.79</v>
      </c>
      <c r="O278" s="27" t="s">
        <v>100</v>
      </c>
      <c r="P278" s="17" t="s">
        <v>63</v>
      </c>
      <c r="Q278" s="55" t="str">
        <f>IF(AND(Dmart_sales_data[[#This Row],[customer_type2]]="Member",OR(Dmart_sales_data[[#This Row],[payment_mode]]="UPI",Dmart_sales_data[[#This Row],[payment_mode]]="Card")),"yes","No")</f>
        <v>No</v>
      </c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</row>
    <row r="279" spans="1:28" ht="14.25" customHeight="1" x14ac:dyDescent="0.3">
      <c r="A279" s="8" t="s">
        <v>321</v>
      </c>
      <c r="B279" s="9" t="s">
        <v>576</v>
      </c>
      <c r="C279" s="9" t="s">
        <v>576</v>
      </c>
      <c r="D279" s="10" t="s">
        <v>25</v>
      </c>
      <c r="E279" s="10">
        <v>1721.79</v>
      </c>
      <c r="F279" s="5" t="str">
        <f>IF(Dmart_sales_data[[#This Row],[sales]]&gt;3000,"High Sales",IF(Dmart_sales_data[[#This Row],[sales]]&gt;1000,"Medium Sales","Low Sales"))</f>
        <v>Medium Sales</v>
      </c>
      <c r="G279" s="10">
        <v>0.12</v>
      </c>
      <c r="H279" s="10">
        <v>3</v>
      </c>
      <c r="I279" s="11">
        <v>45385</v>
      </c>
      <c r="J279" s="11">
        <v>45386</v>
      </c>
      <c r="K279" s="10" t="s">
        <v>15</v>
      </c>
      <c r="L279" s="10" t="s">
        <v>15</v>
      </c>
      <c r="M279" s="10" t="s">
        <v>21</v>
      </c>
      <c r="N279" s="10">
        <v>436.28</v>
      </c>
      <c r="O279" s="27" t="s">
        <v>79</v>
      </c>
      <c r="P279" s="12" t="s">
        <v>22</v>
      </c>
      <c r="Q279" s="55" t="str">
        <f>IF(AND(Dmart_sales_data[[#This Row],[customer_type2]]="Member",OR(Dmart_sales_data[[#This Row],[payment_mode]]="UPI",Dmart_sales_data[[#This Row],[payment_mode]]="Card")),"yes","No")</f>
        <v>yes</v>
      </c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</row>
    <row r="280" spans="1:28" ht="14.25" customHeight="1" x14ac:dyDescent="0.3">
      <c r="A280" s="13" t="s">
        <v>322</v>
      </c>
      <c r="B280" s="14" t="s">
        <v>24</v>
      </c>
      <c r="C280" s="14" t="s">
        <v>24</v>
      </c>
      <c r="D280" s="15" t="s">
        <v>37</v>
      </c>
      <c r="E280" s="15">
        <v>2565</v>
      </c>
      <c r="F280" s="5" t="str">
        <f>IF(Dmart_sales_data[[#This Row],[sales]]&gt;3000,"High Sales",IF(Dmart_sales_data[[#This Row],[sales]]&gt;1000,"Medium Sales","Low Sales"))</f>
        <v>Medium Sales</v>
      </c>
      <c r="G280" s="15">
        <v>0.4</v>
      </c>
      <c r="H280" s="15">
        <v>6</v>
      </c>
      <c r="I280" s="16">
        <v>45289</v>
      </c>
      <c r="J280" s="16">
        <v>45293</v>
      </c>
      <c r="K280" s="15" t="s">
        <v>20</v>
      </c>
      <c r="L280" s="15" t="s">
        <v>20</v>
      </c>
      <c r="M280" s="15" t="s">
        <v>26</v>
      </c>
      <c r="N280" s="15">
        <v>202.72</v>
      </c>
      <c r="O280" s="27" t="s">
        <v>79</v>
      </c>
      <c r="P280" s="17" t="s">
        <v>55</v>
      </c>
      <c r="Q280" s="55" t="str">
        <f>IF(AND(Dmart_sales_data[[#This Row],[customer_type2]]="Member",OR(Dmart_sales_data[[#This Row],[payment_mode]]="UPI",Dmart_sales_data[[#This Row],[payment_mode]]="Card")),"yes","No")</f>
        <v>No</v>
      </c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</row>
    <row r="281" spans="1:28" ht="14.25" customHeight="1" x14ac:dyDescent="0.3">
      <c r="A281" s="8" t="s">
        <v>323</v>
      </c>
      <c r="B281" s="9" t="s">
        <v>29</v>
      </c>
      <c r="C281" s="9" t="s">
        <v>29</v>
      </c>
      <c r="D281" s="10" t="s">
        <v>14</v>
      </c>
      <c r="E281" s="10">
        <v>1983.21</v>
      </c>
      <c r="F281" s="5" t="str">
        <f>IF(Dmart_sales_data[[#This Row],[sales]]&gt;3000,"High Sales",IF(Dmart_sales_data[[#This Row],[sales]]&gt;1000,"Medium Sales","Low Sales"))</f>
        <v>Medium Sales</v>
      </c>
      <c r="G281" s="10">
        <v>0.38</v>
      </c>
      <c r="H281" s="10">
        <v>3</v>
      </c>
      <c r="I281" s="11">
        <v>45500</v>
      </c>
      <c r="J281" s="11">
        <v>45505</v>
      </c>
      <c r="K281" s="10" t="s">
        <v>20</v>
      </c>
      <c r="L281" s="10" t="s">
        <v>20</v>
      </c>
      <c r="M281" s="10" t="s">
        <v>26</v>
      </c>
      <c r="N281" s="10">
        <v>400.98</v>
      </c>
      <c r="O281" s="27" t="s">
        <v>27</v>
      </c>
      <c r="P281" s="12" t="s">
        <v>48</v>
      </c>
      <c r="Q281" s="55" t="str">
        <f>IF(AND(Dmart_sales_data[[#This Row],[customer_type2]]="Member",OR(Dmart_sales_data[[#This Row],[payment_mode]]="UPI",Dmart_sales_data[[#This Row],[payment_mode]]="Card")),"yes","No")</f>
        <v>No</v>
      </c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</row>
    <row r="282" spans="1:28" ht="14.25" customHeight="1" x14ac:dyDescent="0.3">
      <c r="A282" s="13" t="s">
        <v>324</v>
      </c>
      <c r="B282" s="14" t="s">
        <v>13</v>
      </c>
      <c r="C282" s="4" t="s">
        <v>13</v>
      </c>
      <c r="D282" s="15" t="s">
        <v>25</v>
      </c>
      <c r="E282" s="15">
        <v>767.49</v>
      </c>
      <c r="F282" s="5" t="str">
        <f>IF(Dmart_sales_data[[#This Row],[sales]]&gt;3000,"High Sales",IF(Dmart_sales_data[[#This Row],[sales]]&gt;1000,"Medium Sales","Low Sales"))</f>
        <v>Low Sales</v>
      </c>
      <c r="G282" s="15">
        <v>0.1</v>
      </c>
      <c r="H282" s="15">
        <v>2</v>
      </c>
      <c r="I282" s="16">
        <v>45069</v>
      </c>
      <c r="J282" s="16">
        <v>45073</v>
      </c>
      <c r="K282" s="15" t="s">
        <v>32</v>
      </c>
      <c r="L282" s="15" t="s">
        <v>32</v>
      </c>
      <c r="M282" s="15" t="s">
        <v>21</v>
      </c>
      <c r="N282" s="15">
        <v>139.09</v>
      </c>
      <c r="O282" s="27" t="s">
        <v>35</v>
      </c>
      <c r="P282" s="17" t="s">
        <v>58</v>
      </c>
      <c r="Q282" s="55" t="str">
        <f>IF(AND(Dmart_sales_data[[#This Row],[customer_type2]]="Member",OR(Dmart_sales_data[[#This Row],[payment_mode]]="UPI",Dmart_sales_data[[#This Row],[payment_mode]]="Card")),"yes","No")</f>
        <v>No</v>
      </c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</row>
    <row r="283" spans="1:28" ht="14.25" customHeight="1" x14ac:dyDescent="0.3">
      <c r="A283" s="8" t="s">
        <v>325</v>
      </c>
      <c r="B283" s="9" t="s">
        <v>576</v>
      </c>
      <c r="C283" s="9" t="s">
        <v>576</v>
      </c>
      <c r="D283" s="10" t="s">
        <v>37</v>
      </c>
      <c r="E283" s="10">
        <v>1848.16</v>
      </c>
      <c r="F283" s="5" t="str">
        <f>IF(Dmart_sales_data[[#This Row],[sales]]&gt;3000,"High Sales",IF(Dmart_sales_data[[#This Row],[sales]]&gt;1000,"Medium Sales","Low Sales"))</f>
        <v>Medium Sales</v>
      </c>
      <c r="G283" s="10">
        <v>0.45</v>
      </c>
      <c r="H283" s="10">
        <v>4</v>
      </c>
      <c r="I283" s="11">
        <v>45505</v>
      </c>
      <c r="J283" s="11">
        <v>45509</v>
      </c>
      <c r="K283" s="10" t="s">
        <v>32</v>
      </c>
      <c r="L283" s="10" t="s">
        <v>32</v>
      </c>
      <c r="M283" s="10" t="s">
        <v>21</v>
      </c>
      <c r="N283" s="10">
        <v>533.01</v>
      </c>
      <c r="O283" s="27" t="s">
        <v>35</v>
      </c>
      <c r="P283" s="12" t="s">
        <v>30</v>
      </c>
      <c r="Q283" s="55" t="str">
        <f>IF(AND(Dmart_sales_data[[#This Row],[customer_type2]]="Member",OR(Dmart_sales_data[[#This Row],[payment_mode]]="UPI",Dmart_sales_data[[#This Row],[payment_mode]]="Card")),"yes","No")</f>
        <v>No</v>
      </c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</row>
    <row r="284" spans="1:28" ht="14.25" customHeight="1" x14ac:dyDescent="0.3">
      <c r="A284" s="13" t="s">
        <v>326</v>
      </c>
      <c r="B284" s="14" t="s">
        <v>24</v>
      </c>
      <c r="C284" s="14" t="s">
        <v>24</v>
      </c>
      <c r="D284" s="15" t="s">
        <v>34</v>
      </c>
      <c r="E284" s="15">
        <v>4455.97</v>
      </c>
      <c r="F284" s="5" t="str">
        <f>IF(Dmart_sales_data[[#This Row],[sales]]&gt;3000,"High Sales",IF(Dmart_sales_data[[#This Row],[sales]]&gt;1000,"Medium Sales","Low Sales"))</f>
        <v>High Sales</v>
      </c>
      <c r="G284" s="15">
        <v>0.08</v>
      </c>
      <c r="H284" s="15">
        <v>4</v>
      </c>
      <c r="I284" s="16">
        <v>45564</v>
      </c>
      <c r="J284" s="16">
        <v>45570</v>
      </c>
      <c r="K284" s="15" t="s">
        <v>15</v>
      </c>
      <c r="L284" s="15" t="s">
        <v>15</v>
      </c>
      <c r="M284" s="15" t="s">
        <v>26</v>
      </c>
      <c r="N284" s="15">
        <v>1118.01</v>
      </c>
      <c r="O284" s="27" t="s">
        <v>27</v>
      </c>
      <c r="P284" s="17" t="s">
        <v>27</v>
      </c>
      <c r="Q284" s="55" t="str">
        <f>IF(AND(Dmart_sales_data[[#This Row],[customer_type2]]="Member",OR(Dmart_sales_data[[#This Row],[payment_mode]]="UPI",Dmart_sales_data[[#This Row],[payment_mode]]="Card")),"yes","No")</f>
        <v>No</v>
      </c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</row>
    <row r="285" spans="1:28" ht="14.25" customHeight="1" x14ac:dyDescent="0.3">
      <c r="A285" s="8" t="s">
        <v>327</v>
      </c>
      <c r="B285" s="9" t="s">
        <v>29</v>
      </c>
      <c r="C285" s="9" t="s">
        <v>29</v>
      </c>
      <c r="D285" s="10" t="s">
        <v>25</v>
      </c>
      <c r="E285" s="10">
        <v>3787.91</v>
      </c>
      <c r="F285" s="5" t="str">
        <f>IF(Dmart_sales_data[[#This Row],[sales]]&gt;3000,"High Sales",IF(Dmart_sales_data[[#This Row],[sales]]&gt;1000,"Medium Sales","Low Sales"))</f>
        <v>High Sales</v>
      </c>
      <c r="G285" s="10">
        <v>0.4</v>
      </c>
      <c r="H285" s="10">
        <v>2</v>
      </c>
      <c r="I285" s="11">
        <v>45071</v>
      </c>
      <c r="J285" s="11">
        <v>45075</v>
      </c>
      <c r="K285" s="10" t="s">
        <v>32</v>
      </c>
      <c r="L285" s="10" t="s">
        <v>32</v>
      </c>
      <c r="M285" s="10" t="s">
        <v>26</v>
      </c>
      <c r="N285" s="10">
        <v>580.76</v>
      </c>
      <c r="O285" s="27" t="s">
        <v>79</v>
      </c>
      <c r="P285" s="12" t="s">
        <v>22</v>
      </c>
      <c r="Q285" s="55" t="str">
        <f>IF(AND(Dmart_sales_data[[#This Row],[customer_type2]]="Member",OR(Dmart_sales_data[[#This Row],[payment_mode]]="UPI",Dmart_sales_data[[#This Row],[payment_mode]]="Card")),"yes","No")</f>
        <v>No</v>
      </c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</row>
    <row r="286" spans="1:28" ht="14.25" customHeight="1" x14ac:dyDescent="0.3">
      <c r="A286" s="13" t="s">
        <v>328</v>
      </c>
      <c r="B286" s="14" t="s">
        <v>13</v>
      </c>
      <c r="C286" s="4" t="s">
        <v>13</v>
      </c>
      <c r="D286" s="15" t="s">
        <v>37</v>
      </c>
      <c r="E286" s="15">
        <v>1460.15</v>
      </c>
      <c r="F286" s="5" t="str">
        <f>IF(Dmart_sales_data[[#This Row],[sales]]&gt;3000,"High Sales",IF(Dmart_sales_data[[#This Row],[sales]]&gt;1000,"Medium Sales","Low Sales"))</f>
        <v>Medium Sales</v>
      </c>
      <c r="G286" s="15">
        <v>0.21</v>
      </c>
      <c r="H286" s="15">
        <v>3</v>
      </c>
      <c r="I286" s="16">
        <v>45295</v>
      </c>
      <c r="J286" s="16">
        <v>45302</v>
      </c>
      <c r="K286" s="15" t="s">
        <v>32</v>
      </c>
      <c r="L286" s="15" t="s">
        <v>32</v>
      </c>
      <c r="M286" s="15" t="s">
        <v>21</v>
      </c>
      <c r="N286" s="15">
        <v>362.96</v>
      </c>
      <c r="O286" s="27" t="s">
        <v>79</v>
      </c>
      <c r="P286" s="17" t="s">
        <v>22</v>
      </c>
      <c r="Q286" s="55" t="str">
        <f>IF(AND(Dmart_sales_data[[#This Row],[customer_type2]]="Member",OR(Dmart_sales_data[[#This Row],[payment_mode]]="UPI",Dmart_sales_data[[#This Row],[payment_mode]]="Card")),"yes","No")</f>
        <v>No</v>
      </c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</row>
    <row r="287" spans="1:28" ht="14.25" customHeight="1" x14ac:dyDescent="0.3">
      <c r="A287" s="8" t="s">
        <v>329</v>
      </c>
      <c r="B287" s="9" t="s">
        <v>576</v>
      </c>
      <c r="C287" s="9" t="s">
        <v>576</v>
      </c>
      <c r="D287" s="10" t="s">
        <v>25</v>
      </c>
      <c r="E287" s="10">
        <v>1902.78</v>
      </c>
      <c r="F287" s="5" t="str">
        <f>IF(Dmart_sales_data[[#This Row],[sales]]&gt;3000,"High Sales",IF(Dmart_sales_data[[#This Row],[sales]]&gt;1000,"Medium Sales","Low Sales"))</f>
        <v>Medium Sales</v>
      </c>
      <c r="G287" s="10">
        <v>0.09</v>
      </c>
      <c r="H287" s="10">
        <v>9</v>
      </c>
      <c r="I287" s="11">
        <v>45354</v>
      </c>
      <c r="J287" s="11">
        <v>45357</v>
      </c>
      <c r="K287" s="10" t="s">
        <v>20</v>
      </c>
      <c r="L287" s="10" t="s">
        <v>20</v>
      </c>
      <c r="M287" s="10" t="s">
        <v>21</v>
      </c>
      <c r="N287" s="10">
        <v>289.24</v>
      </c>
      <c r="O287" s="27" t="s">
        <v>79</v>
      </c>
      <c r="P287" s="12" t="s">
        <v>22</v>
      </c>
      <c r="Q287" s="55" t="str">
        <f>IF(AND(Dmart_sales_data[[#This Row],[customer_type2]]="Member",OR(Dmart_sales_data[[#This Row],[payment_mode]]="UPI",Dmart_sales_data[[#This Row],[payment_mode]]="Card")),"yes","No")</f>
        <v>No</v>
      </c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</row>
    <row r="288" spans="1:28" ht="14.25" customHeight="1" x14ac:dyDescent="0.3">
      <c r="A288" s="13" t="s">
        <v>330</v>
      </c>
      <c r="B288" s="14" t="s">
        <v>24</v>
      </c>
      <c r="C288" s="14" t="s">
        <v>24</v>
      </c>
      <c r="D288" s="15" t="s">
        <v>14</v>
      </c>
      <c r="E288" s="15">
        <v>3120.53</v>
      </c>
      <c r="F288" s="5" t="str">
        <f>IF(Dmart_sales_data[[#This Row],[sales]]&gt;3000,"High Sales",IF(Dmart_sales_data[[#This Row],[sales]]&gt;1000,"Medium Sales","Low Sales"))</f>
        <v>High Sales</v>
      </c>
      <c r="G288" s="15">
        <v>0.47</v>
      </c>
      <c r="H288" s="15">
        <v>9</v>
      </c>
      <c r="I288" s="16">
        <v>45641</v>
      </c>
      <c r="J288" s="16">
        <v>45645</v>
      </c>
      <c r="K288" s="15" t="s">
        <v>32</v>
      </c>
      <c r="L288" s="15" t="s">
        <v>32</v>
      </c>
      <c r="M288" s="15" t="s">
        <v>26</v>
      </c>
      <c r="N288" s="15">
        <v>749.57</v>
      </c>
      <c r="O288" s="27" t="s">
        <v>17</v>
      </c>
      <c r="P288" s="17" t="s">
        <v>17</v>
      </c>
      <c r="Q288" s="55" t="str">
        <f>IF(AND(Dmart_sales_data[[#This Row],[customer_type2]]="Member",OR(Dmart_sales_data[[#This Row],[payment_mode]]="UPI",Dmart_sales_data[[#This Row],[payment_mode]]="Card")),"yes","No")</f>
        <v>No</v>
      </c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</row>
    <row r="289" spans="1:28" ht="14.25" customHeight="1" x14ac:dyDescent="0.3">
      <c r="A289" s="8" t="s">
        <v>331</v>
      </c>
      <c r="B289" s="9" t="s">
        <v>29</v>
      </c>
      <c r="C289" s="9" t="s">
        <v>29</v>
      </c>
      <c r="D289" s="10" t="s">
        <v>19</v>
      </c>
      <c r="E289" s="10">
        <v>2139.09</v>
      </c>
      <c r="F289" s="5" t="str">
        <f>IF(Dmart_sales_data[[#This Row],[sales]]&gt;3000,"High Sales",IF(Dmart_sales_data[[#This Row],[sales]]&gt;1000,"Medium Sales","Low Sales"))</f>
        <v>Medium Sales</v>
      </c>
      <c r="G289" s="10">
        <v>0.48</v>
      </c>
      <c r="H289" s="10">
        <v>7</v>
      </c>
      <c r="I289" s="11">
        <v>45179</v>
      </c>
      <c r="J289" s="11">
        <v>45183</v>
      </c>
      <c r="K289" s="10" t="s">
        <v>32</v>
      </c>
      <c r="L289" s="10" t="s">
        <v>32</v>
      </c>
      <c r="M289" s="10" t="s">
        <v>26</v>
      </c>
      <c r="N289" s="10">
        <v>262.82</v>
      </c>
      <c r="O289" s="27" t="s">
        <v>41</v>
      </c>
      <c r="P289" s="12" t="s">
        <v>68</v>
      </c>
      <c r="Q289" s="55" t="str">
        <f>IF(AND(Dmart_sales_data[[#This Row],[customer_type2]]="Member",OR(Dmart_sales_data[[#This Row],[payment_mode]]="UPI",Dmart_sales_data[[#This Row],[payment_mode]]="Card")),"yes","No")</f>
        <v>No</v>
      </c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</row>
    <row r="290" spans="1:28" ht="14.25" customHeight="1" x14ac:dyDescent="0.3">
      <c r="A290" s="13" t="s">
        <v>332</v>
      </c>
      <c r="B290" s="14" t="s">
        <v>13</v>
      </c>
      <c r="C290" s="4" t="s">
        <v>13</v>
      </c>
      <c r="D290" s="15" t="s">
        <v>34</v>
      </c>
      <c r="E290" s="15">
        <v>2564.92</v>
      </c>
      <c r="F290" s="5" t="str">
        <f>IF(Dmart_sales_data[[#This Row],[sales]]&gt;3000,"High Sales",IF(Dmart_sales_data[[#This Row],[sales]]&gt;1000,"Medium Sales","Low Sales"))</f>
        <v>Medium Sales</v>
      </c>
      <c r="G290" s="15">
        <v>0.26</v>
      </c>
      <c r="H290" s="15">
        <v>2</v>
      </c>
      <c r="I290" s="16">
        <v>45548</v>
      </c>
      <c r="J290" s="16">
        <v>45555</v>
      </c>
      <c r="K290" s="15" t="s">
        <v>32</v>
      </c>
      <c r="L290" s="15" t="s">
        <v>32</v>
      </c>
      <c r="M290" s="15" t="s">
        <v>21</v>
      </c>
      <c r="N290" s="15">
        <v>367.39</v>
      </c>
      <c r="O290" s="27" t="s">
        <v>35</v>
      </c>
      <c r="P290" s="17" t="s">
        <v>58</v>
      </c>
      <c r="Q290" s="55" t="str">
        <f>IF(AND(Dmart_sales_data[[#This Row],[customer_type2]]="Member",OR(Dmart_sales_data[[#This Row],[payment_mode]]="UPI",Dmart_sales_data[[#This Row],[payment_mode]]="Card")),"yes","No")</f>
        <v>No</v>
      </c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</row>
    <row r="291" spans="1:28" ht="14.25" customHeight="1" x14ac:dyDescent="0.3">
      <c r="A291" s="8" t="s">
        <v>333</v>
      </c>
      <c r="B291" s="9" t="s">
        <v>576</v>
      </c>
      <c r="C291" s="9" t="s">
        <v>576</v>
      </c>
      <c r="D291" s="10" t="s">
        <v>14</v>
      </c>
      <c r="E291" s="10">
        <v>3521.03</v>
      </c>
      <c r="F291" s="5" t="str">
        <f>IF(Dmart_sales_data[[#This Row],[sales]]&gt;3000,"High Sales",IF(Dmart_sales_data[[#This Row],[sales]]&gt;1000,"Medium Sales","Low Sales"))</f>
        <v>High Sales</v>
      </c>
      <c r="G291" s="10">
        <v>0.23</v>
      </c>
      <c r="H291" s="10">
        <v>5</v>
      </c>
      <c r="I291" s="11">
        <v>45074</v>
      </c>
      <c r="J291" s="11">
        <v>45081</v>
      </c>
      <c r="K291" s="10" t="s">
        <v>32</v>
      </c>
      <c r="L291" s="10" t="s">
        <v>32</v>
      </c>
      <c r="M291" s="10" t="s">
        <v>26</v>
      </c>
      <c r="N291" s="10">
        <v>709.19</v>
      </c>
      <c r="O291" s="27" t="s">
        <v>41</v>
      </c>
      <c r="P291" s="12" t="s">
        <v>41</v>
      </c>
      <c r="Q291" s="55" t="str">
        <f>IF(AND(Dmart_sales_data[[#This Row],[customer_type2]]="Member",OR(Dmart_sales_data[[#This Row],[payment_mode]]="UPI",Dmart_sales_data[[#This Row],[payment_mode]]="Card")),"yes","No")</f>
        <v>No</v>
      </c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</row>
    <row r="292" spans="1:28" ht="14.25" customHeight="1" x14ac:dyDescent="0.3">
      <c r="A292" s="13" t="s">
        <v>334</v>
      </c>
      <c r="B292" s="14" t="s">
        <v>24</v>
      </c>
      <c r="C292" s="14" t="s">
        <v>24</v>
      </c>
      <c r="D292" s="15" t="s">
        <v>14</v>
      </c>
      <c r="E292" s="15">
        <v>2389.5300000000002</v>
      </c>
      <c r="F292" s="5" t="str">
        <f>IF(Dmart_sales_data[[#This Row],[sales]]&gt;3000,"High Sales",IF(Dmart_sales_data[[#This Row],[sales]]&gt;1000,"Medium Sales","Low Sales"))</f>
        <v>Medium Sales</v>
      </c>
      <c r="G292" s="15">
        <v>0.45</v>
      </c>
      <c r="H292" s="15">
        <v>8</v>
      </c>
      <c r="I292" s="16">
        <v>45053</v>
      </c>
      <c r="J292" s="16">
        <v>45058</v>
      </c>
      <c r="K292" s="15" t="s">
        <v>32</v>
      </c>
      <c r="L292" s="15" t="s">
        <v>32</v>
      </c>
      <c r="M292" s="15" t="s">
        <v>16</v>
      </c>
      <c r="N292" s="15">
        <v>442.59</v>
      </c>
      <c r="O292" s="27" t="s">
        <v>79</v>
      </c>
      <c r="P292" s="17" t="s">
        <v>79</v>
      </c>
      <c r="Q292" s="55" t="str">
        <f>IF(AND(Dmart_sales_data[[#This Row],[customer_type2]]="Member",OR(Dmart_sales_data[[#This Row],[payment_mode]]="UPI",Dmart_sales_data[[#This Row],[payment_mode]]="Card")),"yes","No")</f>
        <v>No</v>
      </c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</row>
    <row r="293" spans="1:28" ht="14.25" customHeight="1" x14ac:dyDescent="0.3">
      <c r="A293" s="8" t="s">
        <v>335</v>
      </c>
      <c r="B293" s="9" t="s">
        <v>29</v>
      </c>
      <c r="C293" s="9" t="s">
        <v>29</v>
      </c>
      <c r="D293" s="10" t="s">
        <v>37</v>
      </c>
      <c r="E293" s="10">
        <v>1035.75</v>
      </c>
      <c r="F293" s="5" t="str">
        <f>IF(Dmart_sales_data[[#This Row],[sales]]&gt;3000,"High Sales",IF(Dmart_sales_data[[#This Row],[sales]]&gt;1000,"Medium Sales","Low Sales"))</f>
        <v>Medium Sales</v>
      </c>
      <c r="G293" s="10">
        <v>0.3</v>
      </c>
      <c r="H293" s="10">
        <v>1</v>
      </c>
      <c r="I293" s="11">
        <v>45278</v>
      </c>
      <c r="J293" s="11">
        <v>45281</v>
      </c>
      <c r="K293" s="10" t="s">
        <v>32</v>
      </c>
      <c r="L293" s="10" t="s">
        <v>32</v>
      </c>
      <c r="M293" s="10" t="s">
        <v>26</v>
      </c>
      <c r="N293" s="10">
        <v>154.19</v>
      </c>
      <c r="O293" s="27" t="s">
        <v>35</v>
      </c>
      <c r="P293" s="12" t="s">
        <v>35</v>
      </c>
      <c r="Q293" s="55" t="str">
        <f>IF(AND(Dmart_sales_data[[#This Row],[customer_type2]]="Member",OR(Dmart_sales_data[[#This Row],[payment_mode]]="UPI",Dmart_sales_data[[#This Row],[payment_mode]]="Card")),"yes","No")</f>
        <v>No</v>
      </c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</row>
    <row r="294" spans="1:28" ht="14.25" customHeight="1" x14ac:dyDescent="0.3">
      <c r="A294" s="13" t="s">
        <v>336</v>
      </c>
      <c r="B294" s="14" t="s">
        <v>13</v>
      </c>
      <c r="C294" s="4" t="s">
        <v>13</v>
      </c>
      <c r="D294" s="15" t="s">
        <v>25</v>
      </c>
      <c r="E294" s="15">
        <v>2650.81</v>
      </c>
      <c r="F294" s="5" t="str">
        <f>IF(Dmart_sales_data[[#This Row],[sales]]&gt;3000,"High Sales",IF(Dmart_sales_data[[#This Row],[sales]]&gt;1000,"Medium Sales","Low Sales"))</f>
        <v>Medium Sales</v>
      </c>
      <c r="G294" s="15">
        <v>0.13</v>
      </c>
      <c r="H294" s="15">
        <v>1</v>
      </c>
      <c r="I294" s="16">
        <v>45047</v>
      </c>
      <c r="J294" s="16">
        <v>45048</v>
      </c>
      <c r="K294" s="15" t="s">
        <v>32</v>
      </c>
      <c r="L294" s="15" t="s">
        <v>32</v>
      </c>
      <c r="M294" s="15" t="s">
        <v>21</v>
      </c>
      <c r="N294" s="15">
        <v>753.91</v>
      </c>
      <c r="O294" s="27" t="s">
        <v>79</v>
      </c>
      <c r="P294" s="17" t="s">
        <v>55</v>
      </c>
      <c r="Q294" s="55" t="str">
        <f>IF(AND(Dmart_sales_data[[#This Row],[customer_type2]]="Member",OR(Dmart_sales_data[[#This Row],[payment_mode]]="UPI",Dmart_sales_data[[#This Row],[payment_mode]]="Card")),"yes","No")</f>
        <v>No</v>
      </c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</row>
    <row r="295" spans="1:28" ht="14.25" customHeight="1" x14ac:dyDescent="0.3">
      <c r="A295" s="8" t="s">
        <v>337</v>
      </c>
      <c r="B295" s="9" t="s">
        <v>576</v>
      </c>
      <c r="C295" s="9" t="s">
        <v>576</v>
      </c>
      <c r="D295" s="10" t="s">
        <v>34</v>
      </c>
      <c r="E295" s="10">
        <v>1844.98</v>
      </c>
      <c r="F295" s="5" t="str">
        <f>IF(Dmart_sales_data[[#This Row],[sales]]&gt;3000,"High Sales",IF(Dmart_sales_data[[#This Row],[sales]]&gt;1000,"Medium Sales","Low Sales"))</f>
        <v>Medium Sales</v>
      </c>
      <c r="G295" s="10">
        <v>0.21</v>
      </c>
      <c r="H295" s="10">
        <v>6</v>
      </c>
      <c r="I295" s="11">
        <v>45300</v>
      </c>
      <c r="J295" s="11">
        <v>45303</v>
      </c>
      <c r="K295" s="10" t="s">
        <v>32</v>
      </c>
      <c r="L295" s="10" t="s">
        <v>32</v>
      </c>
      <c r="M295" s="10" t="s">
        <v>16</v>
      </c>
      <c r="N295" s="10">
        <v>324.74</v>
      </c>
      <c r="O295" s="27" t="s">
        <v>35</v>
      </c>
      <c r="P295" s="12" t="s">
        <v>58</v>
      </c>
      <c r="Q295" s="55" t="str">
        <f>IF(AND(Dmart_sales_data[[#This Row],[customer_type2]]="Member",OR(Dmart_sales_data[[#This Row],[payment_mode]]="UPI",Dmart_sales_data[[#This Row],[payment_mode]]="Card")),"yes","No")</f>
        <v>No</v>
      </c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</row>
    <row r="296" spans="1:28" ht="14.25" customHeight="1" x14ac:dyDescent="0.3">
      <c r="A296" s="13" t="s">
        <v>338</v>
      </c>
      <c r="B296" s="14" t="s">
        <v>24</v>
      </c>
      <c r="C296" s="14" t="s">
        <v>24</v>
      </c>
      <c r="D296" s="15" t="s">
        <v>14</v>
      </c>
      <c r="E296" s="15">
        <v>1524.6</v>
      </c>
      <c r="F296" s="5" t="str">
        <f>IF(Dmart_sales_data[[#This Row],[sales]]&gt;3000,"High Sales",IF(Dmart_sales_data[[#This Row],[sales]]&gt;1000,"Medium Sales","Low Sales"))</f>
        <v>Medium Sales</v>
      </c>
      <c r="G296" s="15">
        <v>0.42</v>
      </c>
      <c r="H296" s="15">
        <v>7</v>
      </c>
      <c r="I296" s="16">
        <v>45267</v>
      </c>
      <c r="J296" s="16">
        <v>45270</v>
      </c>
      <c r="K296" s="15" t="s">
        <v>15</v>
      </c>
      <c r="L296" s="15" t="s">
        <v>15</v>
      </c>
      <c r="M296" s="15" t="s">
        <v>26</v>
      </c>
      <c r="N296" s="15">
        <v>351.13</v>
      </c>
      <c r="O296" s="27" t="s">
        <v>41</v>
      </c>
      <c r="P296" s="17" t="s">
        <v>41</v>
      </c>
      <c r="Q296" s="55" t="str">
        <f>IF(AND(Dmart_sales_data[[#This Row],[customer_type2]]="Member",OR(Dmart_sales_data[[#This Row],[payment_mode]]="UPI",Dmart_sales_data[[#This Row],[payment_mode]]="Card")),"yes","No")</f>
        <v>No</v>
      </c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</row>
    <row r="297" spans="1:28" ht="14.25" customHeight="1" x14ac:dyDescent="0.3">
      <c r="A297" s="8" t="s">
        <v>339</v>
      </c>
      <c r="B297" s="9" t="s">
        <v>29</v>
      </c>
      <c r="C297" s="9" t="s">
        <v>29</v>
      </c>
      <c r="D297" s="10" t="s">
        <v>37</v>
      </c>
      <c r="E297" s="10">
        <v>1707.73</v>
      </c>
      <c r="F297" s="5" t="str">
        <f>IF(Dmart_sales_data[[#This Row],[sales]]&gt;3000,"High Sales",IF(Dmart_sales_data[[#This Row],[sales]]&gt;1000,"Medium Sales","Low Sales"))</f>
        <v>Medium Sales</v>
      </c>
      <c r="G297" s="10">
        <v>0.43</v>
      </c>
      <c r="H297" s="10">
        <v>7</v>
      </c>
      <c r="I297" s="11">
        <v>44957</v>
      </c>
      <c r="J297" s="11">
        <v>44964</v>
      </c>
      <c r="K297" s="10" t="s">
        <v>20</v>
      </c>
      <c r="L297" s="10" t="s">
        <v>20</v>
      </c>
      <c r="M297" s="10" t="s">
        <v>21</v>
      </c>
      <c r="N297" s="10">
        <v>263.39999999999998</v>
      </c>
      <c r="O297" s="27" t="s">
        <v>41</v>
      </c>
      <c r="P297" s="12" t="s">
        <v>44</v>
      </c>
      <c r="Q297" s="55" t="str">
        <f>IF(AND(Dmart_sales_data[[#This Row],[customer_type2]]="Member",OR(Dmart_sales_data[[#This Row],[payment_mode]]="UPI",Dmart_sales_data[[#This Row],[payment_mode]]="Card")),"yes","No")</f>
        <v>No</v>
      </c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</row>
    <row r="298" spans="1:28" ht="14.25" customHeight="1" x14ac:dyDescent="0.3">
      <c r="A298" s="13" t="s">
        <v>340</v>
      </c>
      <c r="B298" s="14" t="s">
        <v>13</v>
      </c>
      <c r="C298" s="4" t="s">
        <v>13</v>
      </c>
      <c r="D298" s="15" t="s">
        <v>34</v>
      </c>
      <c r="E298" s="15">
        <v>2251.11</v>
      </c>
      <c r="F298" s="5" t="str">
        <f>IF(Dmart_sales_data[[#This Row],[sales]]&gt;3000,"High Sales",IF(Dmart_sales_data[[#This Row],[sales]]&gt;1000,"Medium Sales","Low Sales"))</f>
        <v>Medium Sales</v>
      </c>
      <c r="G298" s="15">
        <v>0.47</v>
      </c>
      <c r="H298" s="15">
        <v>3</v>
      </c>
      <c r="I298" s="16">
        <v>45271</v>
      </c>
      <c r="J298" s="16">
        <v>45278</v>
      </c>
      <c r="K298" s="15" t="s">
        <v>32</v>
      </c>
      <c r="L298" s="15" t="s">
        <v>32</v>
      </c>
      <c r="M298" s="15" t="s">
        <v>16</v>
      </c>
      <c r="N298" s="15">
        <v>519.6</v>
      </c>
      <c r="O298" s="27" t="s">
        <v>41</v>
      </c>
      <c r="P298" s="17" t="s">
        <v>68</v>
      </c>
      <c r="Q298" s="55" t="str">
        <f>IF(AND(Dmart_sales_data[[#This Row],[customer_type2]]="Member",OR(Dmart_sales_data[[#This Row],[payment_mode]]="UPI",Dmart_sales_data[[#This Row],[payment_mode]]="Card")),"yes","No")</f>
        <v>No</v>
      </c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</row>
    <row r="299" spans="1:28" ht="14.25" customHeight="1" x14ac:dyDescent="0.3">
      <c r="A299" s="8" t="s">
        <v>341</v>
      </c>
      <c r="B299" s="9" t="s">
        <v>576</v>
      </c>
      <c r="C299" s="9" t="s">
        <v>576</v>
      </c>
      <c r="D299" s="10" t="s">
        <v>25</v>
      </c>
      <c r="E299" s="10">
        <v>4444.3999999999996</v>
      </c>
      <c r="F299" s="5" t="str">
        <f>IF(Dmart_sales_data[[#This Row],[sales]]&gt;3000,"High Sales",IF(Dmart_sales_data[[#This Row],[sales]]&gt;1000,"Medium Sales","Low Sales"))</f>
        <v>High Sales</v>
      </c>
      <c r="G299" s="10">
        <v>0.14000000000000001</v>
      </c>
      <c r="H299" s="10">
        <v>4</v>
      </c>
      <c r="I299" s="11">
        <v>45479</v>
      </c>
      <c r="J299" s="11">
        <v>45482</v>
      </c>
      <c r="K299" s="10" t="s">
        <v>20</v>
      </c>
      <c r="L299" s="10" t="s">
        <v>20</v>
      </c>
      <c r="M299" s="10" t="s">
        <v>21</v>
      </c>
      <c r="N299" s="10">
        <v>1102.6300000000001</v>
      </c>
      <c r="O299" s="27" t="s">
        <v>27</v>
      </c>
      <c r="P299" s="12" t="s">
        <v>27</v>
      </c>
      <c r="Q299" s="55" t="str">
        <f>IF(AND(Dmart_sales_data[[#This Row],[customer_type2]]="Member",OR(Dmart_sales_data[[#This Row],[payment_mode]]="UPI",Dmart_sales_data[[#This Row],[payment_mode]]="Card")),"yes","No")</f>
        <v>No</v>
      </c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</row>
    <row r="300" spans="1:28" ht="14.25" customHeight="1" x14ac:dyDescent="0.3">
      <c r="A300" s="13" t="s">
        <v>342</v>
      </c>
      <c r="B300" s="14" t="s">
        <v>24</v>
      </c>
      <c r="C300" s="14" t="s">
        <v>24</v>
      </c>
      <c r="D300" s="15" t="s">
        <v>14</v>
      </c>
      <c r="E300" s="15">
        <v>3696.88</v>
      </c>
      <c r="F300" s="5" t="str">
        <f>IF(Dmart_sales_data[[#This Row],[sales]]&gt;3000,"High Sales",IF(Dmart_sales_data[[#This Row],[sales]]&gt;1000,"Medium Sales","Low Sales"))</f>
        <v>High Sales</v>
      </c>
      <c r="G300" s="15">
        <v>0.34</v>
      </c>
      <c r="H300" s="15">
        <v>9</v>
      </c>
      <c r="I300" s="16">
        <v>45130</v>
      </c>
      <c r="J300" s="16">
        <v>45135</v>
      </c>
      <c r="K300" s="15" t="s">
        <v>32</v>
      </c>
      <c r="L300" s="15" t="s">
        <v>32</v>
      </c>
      <c r="M300" s="15" t="s">
        <v>26</v>
      </c>
      <c r="N300" s="15">
        <v>690.48</v>
      </c>
      <c r="O300" s="27" t="s">
        <v>41</v>
      </c>
      <c r="P300" s="17" t="s">
        <v>68</v>
      </c>
      <c r="Q300" s="55" t="str">
        <f>IF(AND(Dmart_sales_data[[#This Row],[customer_type2]]="Member",OR(Dmart_sales_data[[#This Row],[payment_mode]]="UPI",Dmart_sales_data[[#This Row],[payment_mode]]="Card")),"yes","No")</f>
        <v>No</v>
      </c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</row>
    <row r="301" spans="1:28" ht="14.25" customHeight="1" x14ac:dyDescent="0.3">
      <c r="A301" s="8" t="s">
        <v>343</v>
      </c>
      <c r="B301" s="9" t="s">
        <v>29</v>
      </c>
      <c r="C301" s="9" t="s">
        <v>29</v>
      </c>
      <c r="D301" s="10" t="s">
        <v>14</v>
      </c>
      <c r="E301" s="10">
        <v>3372.62</v>
      </c>
      <c r="F301" s="5" t="str">
        <f>IF(Dmart_sales_data[[#This Row],[sales]]&gt;3000,"High Sales",IF(Dmart_sales_data[[#This Row],[sales]]&gt;1000,"Medium Sales","Low Sales"))</f>
        <v>High Sales</v>
      </c>
      <c r="G301" s="10">
        <v>0.03</v>
      </c>
      <c r="H301" s="10">
        <v>4</v>
      </c>
      <c r="I301" s="11">
        <v>45298</v>
      </c>
      <c r="J301" s="11">
        <v>45304</v>
      </c>
      <c r="K301" s="10" t="s">
        <v>15</v>
      </c>
      <c r="L301" s="10" t="s">
        <v>15</v>
      </c>
      <c r="M301" s="10" t="s">
        <v>16</v>
      </c>
      <c r="N301" s="10">
        <v>196.2</v>
      </c>
      <c r="O301" s="27" t="s">
        <v>79</v>
      </c>
      <c r="P301" s="12" t="s">
        <v>79</v>
      </c>
      <c r="Q301" s="55" t="str">
        <f>IF(AND(Dmart_sales_data[[#This Row],[customer_type2]]="Member",OR(Dmart_sales_data[[#This Row],[payment_mode]]="UPI",Dmart_sales_data[[#This Row],[payment_mode]]="Card")),"yes","No")</f>
        <v>yes</v>
      </c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</row>
    <row r="302" spans="1:28" ht="14.25" customHeight="1" x14ac:dyDescent="0.3">
      <c r="A302" s="13" t="s">
        <v>344</v>
      </c>
      <c r="B302" s="14" t="s">
        <v>13</v>
      </c>
      <c r="C302" s="4" t="s">
        <v>13</v>
      </c>
      <c r="D302" s="15" t="s">
        <v>14</v>
      </c>
      <c r="E302" s="15">
        <v>2409.1799999999998</v>
      </c>
      <c r="F302" s="5" t="str">
        <f>IF(Dmart_sales_data[[#This Row],[sales]]&gt;3000,"High Sales",IF(Dmart_sales_data[[#This Row],[sales]]&gt;1000,"Medium Sales","Low Sales"))</f>
        <v>Medium Sales</v>
      </c>
      <c r="G302" s="15">
        <v>0.36</v>
      </c>
      <c r="H302" s="15">
        <v>5</v>
      </c>
      <c r="I302" s="16">
        <v>45338</v>
      </c>
      <c r="J302" s="16">
        <v>45340</v>
      </c>
      <c r="K302" s="15" t="s">
        <v>32</v>
      </c>
      <c r="L302" s="15" t="s">
        <v>32</v>
      </c>
      <c r="M302" s="15" t="s">
        <v>26</v>
      </c>
      <c r="N302" s="15">
        <v>424.14</v>
      </c>
      <c r="O302" s="27" t="s">
        <v>27</v>
      </c>
      <c r="P302" s="17" t="s">
        <v>27</v>
      </c>
      <c r="Q302" s="55" t="str">
        <f>IF(AND(Dmart_sales_data[[#This Row],[customer_type2]]="Member",OR(Dmart_sales_data[[#This Row],[payment_mode]]="UPI",Dmart_sales_data[[#This Row],[payment_mode]]="Card")),"yes","No")</f>
        <v>No</v>
      </c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</row>
    <row r="303" spans="1:28" ht="14.25" customHeight="1" x14ac:dyDescent="0.3">
      <c r="A303" s="8" t="s">
        <v>345</v>
      </c>
      <c r="B303" s="9" t="s">
        <v>576</v>
      </c>
      <c r="C303" s="9" t="s">
        <v>576</v>
      </c>
      <c r="D303" s="10" t="s">
        <v>34</v>
      </c>
      <c r="E303" s="10">
        <v>108.97</v>
      </c>
      <c r="F303" s="5" t="str">
        <f>IF(Dmart_sales_data[[#This Row],[sales]]&gt;3000,"High Sales",IF(Dmart_sales_data[[#This Row],[sales]]&gt;1000,"Medium Sales","Low Sales"))</f>
        <v>Low Sales</v>
      </c>
      <c r="G303" s="10">
        <v>0.28000000000000003</v>
      </c>
      <c r="H303" s="10">
        <v>6</v>
      </c>
      <c r="I303" s="11">
        <v>45487</v>
      </c>
      <c r="J303" s="11">
        <v>45492</v>
      </c>
      <c r="K303" s="10" t="s">
        <v>15</v>
      </c>
      <c r="L303" s="10" t="s">
        <v>15</v>
      </c>
      <c r="M303" s="10" t="s">
        <v>16</v>
      </c>
      <c r="N303" s="10">
        <v>29.94</v>
      </c>
      <c r="O303" s="27" t="s">
        <v>100</v>
      </c>
      <c r="P303" s="12" t="s">
        <v>65</v>
      </c>
      <c r="Q303" s="55" t="str">
        <f>IF(AND(Dmart_sales_data[[#This Row],[customer_type2]]="Member",OR(Dmart_sales_data[[#This Row],[payment_mode]]="UPI",Dmart_sales_data[[#This Row],[payment_mode]]="Card")),"yes","No")</f>
        <v>yes</v>
      </c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</row>
    <row r="304" spans="1:28" ht="14.25" customHeight="1" x14ac:dyDescent="0.3">
      <c r="A304" s="13" t="s">
        <v>346</v>
      </c>
      <c r="B304" s="14" t="s">
        <v>24</v>
      </c>
      <c r="C304" s="14" t="s">
        <v>24</v>
      </c>
      <c r="D304" s="15" t="s">
        <v>34</v>
      </c>
      <c r="E304" s="15">
        <v>1768.7</v>
      </c>
      <c r="F304" s="5" t="str">
        <f>IF(Dmart_sales_data[[#This Row],[sales]]&gt;3000,"High Sales",IF(Dmart_sales_data[[#This Row],[sales]]&gt;1000,"Medium Sales","Low Sales"))</f>
        <v>Medium Sales</v>
      </c>
      <c r="G304" s="15">
        <v>0.12</v>
      </c>
      <c r="H304" s="15">
        <v>7</v>
      </c>
      <c r="I304" s="16">
        <v>45528</v>
      </c>
      <c r="J304" s="16">
        <v>45535</v>
      </c>
      <c r="K304" s="15" t="s">
        <v>32</v>
      </c>
      <c r="L304" s="15" t="s">
        <v>32</v>
      </c>
      <c r="M304" s="15" t="s">
        <v>26</v>
      </c>
      <c r="N304" s="15">
        <v>125.52</v>
      </c>
      <c r="O304" s="27" t="s">
        <v>27</v>
      </c>
      <c r="P304" s="17" t="s">
        <v>48</v>
      </c>
      <c r="Q304" s="55" t="str">
        <f>IF(AND(Dmart_sales_data[[#This Row],[customer_type2]]="Member",OR(Dmart_sales_data[[#This Row],[payment_mode]]="UPI",Dmart_sales_data[[#This Row],[payment_mode]]="Card")),"yes","No")</f>
        <v>No</v>
      </c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</row>
    <row r="305" spans="1:28" ht="14.25" customHeight="1" x14ac:dyDescent="0.3">
      <c r="A305" s="8" t="s">
        <v>347</v>
      </c>
      <c r="B305" s="9" t="s">
        <v>29</v>
      </c>
      <c r="C305" s="9" t="s">
        <v>29</v>
      </c>
      <c r="D305" s="10" t="s">
        <v>34</v>
      </c>
      <c r="E305" s="10">
        <v>4084.64</v>
      </c>
      <c r="F305" s="5" t="str">
        <f>IF(Dmart_sales_data[[#This Row],[sales]]&gt;3000,"High Sales",IF(Dmart_sales_data[[#This Row],[sales]]&gt;1000,"Medium Sales","Low Sales"))</f>
        <v>High Sales</v>
      </c>
      <c r="G305" s="10">
        <v>0.33</v>
      </c>
      <c r="H305" s="10">
        <v>5</v>
      </c>
      <c r="I305" s="11">
        <v>45154</v>
      </c>
      <c r="J305" s="11">
        <v>45159</v>
      </c>
      <c r="K305" s="10" t="s">
        <v>32</v>
      </c>
      <c r="L305" s="10" t="s">
        <v>32</v>
      </c>
      <c r="M305" s="10" t="s">
        <v>16</v>
      </c>
      <c r="N305" s="10">
        <v>800.8</v>
      </c>
      <c r="O305" s="27" t="s">
        <v>79</v>
      </c>
      <c r="P305" s="12" t="s">
        <v>55</v>
      </c>
      <c r="Q305" s="55" t="str">
        <f>IF(AND(Dmart_sales_data[[#This Row],[customer_type2]]="Member",OR(Dmart_sales_data[[#This Row],[payment_mode]]="UPI",Dmart_sales_data[[#This Row],[payment_mode]]="Card")),"yes","No")</f>
        <v>No</v>
      </c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</row>
    <row r="306" spans="1:28" ht="14.25" customHeight="1" x14ac:dyDescent="0.3">
      <c r="A306" s="13" t="s">
        <v>348</v>
      </c>
      <c r="B306" s="14" t="s">
        <v>13</v>
      </c>
      <c r="C306" s="4" t="s">
        <v>13</v>
      </c>
      <c r="D306" s="15" t="s">
        <v>34</v>
      </c>
      <c r="E306" s="15">
        <v>2002.04</v>
      </c>
      <c r="F306" s="5" t="str">
        <f>IF(Dmart_sales_data[[#This Row],[sales]]&gt;3000,"High Sales",IF(Dmart_sales_data[[#This Row],[sales]]&gt;1000,"Medium Sales","Low Sales"))</f>
        <v>Medium Sales</v>
      </c>
      <c r="G306" s="15">
        <v>7.0000000000000007E-2</v>
      </c>
      <c r="H306" s="15">
        <v>7</v>
      </c>
      <c r="I306" s="16">
        <v>44958</v>
      </c>
      <c r="J306" s="16">
        <v>44959</v>
      </c>
      <c r="K306" s="15" t="s">
        <v>20</v>
      </c>
      <c r="L306" s="15" t="s">
        <v>20</v>
      </c>
      <c r="M306" s="15" t="s">
        <v>21</v>
      </c>
      <c r="N306" s="15">
        <v>117.22</v>
      </c>
      <c r="O306" s="27" t="s">
        <v>79</v>
      </c>
      <c r="P306" s="17" t="s">
        <v>22</v>
      </c>
      <c r="Q306" s="55" t="str">
        <f>IF(AND(Dmart_sales_data[[#This Row],[customer_type2]]="Member",OR(Dmart_sales_data[[#This Row],[payment_mode]]="UPI",Dmart_sales_data[[#This Row],[payment_mode]]="Card")),"yes","No")</f>
        <v>No</v>
      </c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</row>
    <row r="307" spans="1:28" ht="14.25" customHeight="1" x14ac:dyDescent="0.3">
      <c r="A307" s="8" t="s">
        <v>349</v>
      </c>
      <c r="B307" s="9" t="s">
        <v>576</v>
      </c>
      <c r="C307" s="9" t="s">
        <v>576</v>
      </c>
      <c r="D307" s="10" t="s">
        <v>37</v>
      </c>
      <c r="E307" s="10">
        <v>2862.71</v>
      </c>
      <c r="F307" s="5" t="str">
        <f>IF(Dmart_sales_data[[#This Row],[sales]]&gt;3000,"High Sales",IF(Dmart_sales_data[[#This Row],[sales]]&gt;1000,"Medium Sales","Low Sales"))</f>
        <v>Medium Sales</v>
      </c>
      <c r="G307" s="10">
        <v>0.17</v>
      </c>
      <c r="H307" s="10">
        <v>2</v>
      </c>
      <c r="I307" s="11">
        <v>45617</v>
      </c>
      <c r="J307" s="11">
        <v>45623</v>
      </c>
      <c r="K307" s="10" t="s">
        <v>32</v>
      </c>
      <c r="L307" s="10" t="s">
        <v>32</v>
      </c>
      <c r="M307" s="10" t="s">
        <v>26</v>
      </c>
      <c r="N307" s="10">
        <v>491.84</v>
      </c>
      <c r="O307" s="27" t="s">
        <v>35</v>
      </c>
      <c r="P307" s="12" t="s">
        <v>35</v>
      </c>
      <c r="Q307" s="55" t="str">
        <f>IF(AND(Dmart_sales_data[[#This Row],[customer_type2]]="Member",OR(Dmart_sales_data[[#This Row],[payment_mode]]="UPI",Dmart_sales_data[[#This Row],[payment_mode]]="Card")),"yes","No")</f>
        <v>No</v>
      </c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</row>
    <row r="308" spans="1:28" ht="14.25" customHeight="1" x14ac:dyDescent="0.3">
      <c r="A308" s="13" t="s">
        <v>350</v>
      </c>
      <c r="B308" s="14" t="s">
        <v>24</v>
      </c>
      <c r="C308" s="14" t="s">
        <v>24</v>
      </c>
      <c r="D308" s="15" t="s">
        <v>19</v>
      </c>
      <c r="E308" s="15">
        <v>1103.23</v>
      </c>
      <c r="F308" s="5" t="str">
        <f>IF(Dmart_sales_data[[#This Row],[sales]]&gt;3000,"High Sales",IF(Dmart_sales_data[[#This Row],[sales]]&gt;1000,"Medium Sales","Low Sales"))</f>
        <v>Medium Sales</v>
      </c>
      <c r="G308" s="15">
        <v>0.2</v>
      </c>
      <c r="H308" s="15">
        <v>7</v>
      </c>
      <c r="I308" s="16">
        <v>45272</v>
      </c>
      <c r="J308" s="16">
        <v>45273</v>
      </c>
      <c r="K308" s="15" t="s">
        <v>32</v>
      </c>
      <c r="L308" s="15" t="s">
        <v>32</v>
      </c>
      <c r="M308" s="15" t="s">
        <v>26</v>
      </c>
      <c r="N308" s="15">
        <v>245.99</v>
      </c>
      <c r="O308" s="27" t="s">
        <v>27</v>
      </c>
      <c r="P308" s="17" t="s">
        <v>39</v>
      </c>
      <c r="Q308" s="55" t="str">
        <f>IF(AND(Dmart_sales_data[[#This Row],[customer_type2]]="Member",OR(Dmart_sales_data[[#This Row],[payment_mode]]="UPI",Dmart_sales_data[[#This Row],[payment_mode]]="Card")),"yes","No")</f>
        <v>No</v>
      </c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</row>
    <row r="309" spans="1:28" ht="14.25" customHeight="1" x14ac:dyDescent="0.3">
      <c r="A309" s="8" t="s">
        <v>351</v>
      </c>
      <c r="B309" s="9" t="s">
        <v>29</v>
      </c>
      <c r="C309" s="9" t="s">
        <v>29</v>
      </c>
      <c r="D309" s="10" t="s">
        <v>37</v>
      </c>
      <c r="E309" s="10">
        <v>4587.7</v>
      </c>
      <c r="F309" s="5" t="str">
        <f>IF(Dmart_sales_data[[#This Row],[sales]]&gt;3000,"High Sales",IF(Dmart_sales_data[[#This Row],[sales]]&gt;1000,"Medium Sales","Low Sales"))</f>
        <v>High Sales</v>
      </c>
      <c r="G309" s="10">
        <v>0.39</v>
      </c>
      <c r="H309" s="10">
        <v>5</v>
      </c>
      <c r="I309" s="11">
        <v>45123</v>
      </c>
      <c r="J309" s="11">
        <v>45130</v>
      </c>
      <c r="K309" s="10" t="s">
        <v>15</v>
      </c>
      <c r="L309" s="10" t="s">
        <v>15</v>
      </c>
      <c r="M309" s="10" t="s">
        <v>21</v>
      </c>
      <c r="N309" s="10">
        <v>665.8</v>
      </c>
      <c r="O309" s="27" t="s">
        <v>17</v>
      </c>
      <c r="P309" s="12" t="s">
        <v>95</v>
      </c>
      <c r="Q309" s="55" t="str">
        <f>IF(AND(Dmart_sales_data[[#This Row],[customer_type2]]="Member",OR(Dmart_sales_data[[#This Row],[payment_mode]]="UPI",Dmart_sales_data[[#This Row],[payment_mode]]="Card")),"yes","No")</f>
        <v>yes</v>
      </c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</row>
    <row r="310" spans="1:28" ht="14.25" customHeight="1" x14ac:dyDescent="0.3">
      <c r="A310" s="13" t="s">
        <v>352</v>
      </c>
      <c r="B310" s="14" t="s">
        <v>13</v>
      </c>
      <c r="C310" s="4" t="s">
        <v>13</v>
      </c>
      <c r="D310" s="15" t="s">
        <v>14</v>
      </c>
      <c r="E310" s="15">
        <v>4623.54</v>
      </c>
      <c r="F310" s="5" t="str">
        <f>IF(Dmart_sales_data[[#This Row],[sales]]&gt;3000,"High Sales",IF(Dmart_sales_data[[#This Row],[sales]]&gt;1000,"Medium Sales","Low Sales"))</f>
        <v>High Sales</v>
      </c>
      <c r="G310" s="15">
        <v>0.15</v>
      </c>
      <c r="H310" s="15">
        <v>5</v>
      </c>
      <c r="I310" s="16">
        <v>45220</v>
      </c>
      <c r="J310" s="16">
        <v>45221</v>
      </c>
      <c r="K310" s="15" t="s">
        <v>20</v>
      </c>
      <c r="L310" s="15" t="s">
        <v>20</v>
      </c>
      <c r="M310" s="15" t="s">
        <v>26</v>
      </c>
      <c r="N310" s="15">
        <v>362.88</v>
      </c>
      <c r="O310" s="27" t="s">
        <v>27</v>
      </c>
      <c r="P310" s="17" t="s">
        <v>48</v>
      </c>
      <c r="Q310" s="55" t="str">
        <f>IF(AND(Dmart_sales_data[[#This Row],[customer_type2]]="Member",OR(Dmart_sales_data[[#This Row],[payment_mode]]="UPI",Dmart_sales_data[[#This Row],[payment_mode]]="Card")),"yes","No")</f>
        <v>No</v>
      </c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</row>
    <row r="311" spans="1:28" ht="14.25" customHeight="1" x14ac:dyDescent="0.3">
      <c r="A311" s="8" t="s">
        <v>353</v>
      </c>
      <c r="B311" s="9" t="s">
        <v>576</v>
      </c>
      <c r="C311" s="9" t="s">
        <v>576</v>
      </c>
      <c r="D311" s="10" t="s">
        <v>37</v>
      </c>
      <c r="E311" s="10">
        <v>815.74</v>
      </c>
      <c r="F311" s="5" t="str">
        <f>IF(Dmart_sales_data[[#This Row],[sales]]&gt;3000,"High Sales",IF(Dmart_sales_data[[#This Row],[sales]]&gt;1000,"Medium Sales","Low Sales"))</f>
        <v>Low Sales</v>
      </c>
      <c r="G311" s="10">
        <v>0.02</v>
      </c>
      <c r="H311" s="10">
        <v>6</v>
      </c>
      <c r="I311" s="11">
        <v>45515</v>
      </c>
      <c r="J311" s="11">
        <v>45517</v>
      </c>
      <c r="K311" s="10" t="s">
        <v>32</v>
      </c>
      <c r="L311" s="10" t="s">
        <v>32</v>
      </c>
      <c r="M311" s="10" t="s">
        <v>16</v>
      </c>
      <c r="N311" s="10">
        <v>234</v>
      </c>
      <c r="O311" s="27" t="s">
        <v>35</v>
      </c>
      <c r="P311" s="12" t="s">
        <v>30</v>
      </c>
      <c r="Q311" s="55" t="str">
        <f>IF(AND(Dmart_sales_data[[#This Row],[customer_type2]]="Member",OR(Dmart_sales_data[[#This Row],[payment_mode]]="UPI",Dmart_sales_data[[#This Row],[payment_mode]]="Card")),"yes","No")</f>
        <v>No</v>
      </c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</row>
    <row r="312" spans="1:28" ht="14.25" customHeight="1" x14ac:dyDescent="0.3">
      <c r="A312" s="13" t="s">
        <v>354</v>
      </c>
      <c r="B312" s="14" t="s">
        <v>24</v>
      </c>
      <c r="C312" s="14" t="s">
        <v>24</v>
      </c>
      <c r="D312" s="15" t="s">
        <v>25</v>
      </c>
      <c r="E312" s="15">
        <v>3648.38</v>
      </c>
      <c r="F312" s="5" t="str">
        <f>IF(Dmart_sales_data[[#This Row],[sales]]&gt;3000,"High Sales",IF(Dmart_sales_data[[#This Row],[sales]]&gt;1000,"Medium Sales","Low Sales"))</f>
        <v>High Sales</v>
      </c>
      <c r="G312" s="15">
        <v>0.09</v>
      </c>
      <c r="H312" s="15">
        <v>9</v>
      </c>
      <c r="I312" s="16">
        <v>45048</v>
      </c>
      <c r="J312" s="16">
        <v>45051</v>
      </c>
      <c r="K312" s="15" t="s">
        <v>20</v>
      </c>
      <c r="L312" s="15" t="s">
        <v>20</v>
      </c>
      <c r="M312" s="15" t="s">
        <v>21</v>
      </c>
      <c r="N312" s="15">
        <v>1033.49</v>
      </c>
      <c r="O312" s="27" t="s">
        <v>100</v>
      </c>
      <c r="P312" s="17" t="s">
        <v>100</v>
      </c>
      <c r="Q312" s="55" t="str">
        <f>IF(AND(Dmart_sales_data[[#This Row],[customer_type2]]="Member",OR(Dmart_sales_data[[#This Row],[payment_mode]]="UPI",Dmart_sales_data[[#This Row],[payment_mode]]="Card")),"yes","No")</f>
        <v>No</v>
      </c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</row>
    <row r="313" spans="1:28" ht="14.25" customHeight="1" x14ac:dyDescent="0.3">
      <c r="A313" s="8" t="s">
        <v>355</v>
      </c>
      <c r="B313" s="9" t="s">
        <v>29</v>
      </c>
      <c r="C313" s="9" t="s">
        <v>29</v>
      </c>
      <c r="D313" s="10" t="s">
        <v>34</v>
      </c>
      <c r="E313" s="10">
        <v>468.67</v>
      </c>
      <c r="F313" s="5" t="str">
        <f>IF(Dmart_sales_data[[#This Row],[sales]]&gt;3000,"High Sales",IF(Dmart_sales_data[[#This Row],[sales]]&gt;1000,"Medium Sales","Low Sales"))</f>
        <v>Low Sales</v>
      </c>
      <c r="G313" s="10">
        <v>0.3</v>
      </c>
      <c r="H313" s="10">
        <v>4</v>
      </c>
      <c r="I313" s="11">
        <v>45562</v>
      </c>
      <c r="J313" s="11">
        <v>45564</v>
      </c>
      <c r="K313" s="10" t="s">
        <v>20</v>
      </c>
      <c r="L313" s="10" t="s">
        <v>20</v>
      </c>
      <c r="M313" s="10" t="s">
        <v>16</v>
      </c>
      <c r="N313" s="10">
        <v>116.61</v>
      </c>
      <c r="O313" s="27" t="s">
        <v>79</v>
      </c>
      <c r="P313" s="12" t="s">
        <v>55</v>
      </c>
      <c r="Q313" s="55" t="str">
        <f>IF(AND(Dmart_sales_data[[#This Row],[customer_type2]]="Member",OR(Dmart_sales_data[[#This Row],[payment_mode]]="UPI",Dmart_sales_data[[#This Row],[payment_mode]]="Card")),"yes","No")</f>
        <v>No</v>
      </c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</row>
    <row r="314" spans="1:28" ht="14.25" customHeight="1" x14ac:dyDescent="0.3">
      <c r="A314" s="13" t="s">
        <v>356</v>
      </c>
      <c r="B314" s="14" t="s">
        <v>13</v>
      </c>
      <c r="C314" s="4" t="s">
        <v>13</v>
      </c>
      <c r="D314" s="15" t="s">
        <v>25</v>
      </c>
      <c r="E314" s="15">
        <v>3032.88</v>
      </c>
      <c r="F314" s="5" t="str">
        <f>IF(Dmart_sales_data[[#This Row],[sales]]&gt;3000,"High Sales",IF(Dmart_sales_data[[#This Row],[sales]]&gt;1000,"Medium Sales","Low Sales"))</f>
        <v>High Sales</v>
      </c>
      <c r="G314" s="15">
        <v>0.01</v>
      </c>
      <c r="H314" s="15">
        <v>5</v>
      </c>
      <c r="I314" s="16">
        <v>45301</v>
      </c>
      <c r="J314" s="16">
        <v>45308</v>
      </c>
      <c r="K314" s="15" t="s">
        <v>32</v>
      </c>
      <c r="L314" s="15" t="s">
        <v>32</v>
      </c>
      <c r="M314" s="15" t="s">
        <v>21</v>
      </c>
      <c r="N314" s="15">
        <v>309.11</v>
      </c>
      <c r="O314" s="27" t="s">
        <v>100</v>
      </c>
      <c r="P314" s="17" t="s">
        <v>63</v>
      </c>
      <c r="Q314" s="55" t="str">
        <f>IF(AND(Dmart_sales_data[[#This Row],[customer_type2]]="Member",OR(Dmart_sales_data[[#This Row],[payment_mode]]="UPI",Dmart_sales_data[[#This Row],[payment_mode]]="Card")),"yes","No")</f>
        <v>No</v>
      </c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</row>
    <row r="315" spans="1:28" ht="14.25" customHeight="1" x14ac:dyDescent="0.3">
      <c r="A315" s="8" t="s">
        <v>357</v>
      </c>
      <c r="B315" s="9" t="s">
        <v>576</v>
      </c>
      <c r="C315" s="9" t="s">
        <v>576</v>
      </c>
      <c r="D315" s="10" t="s">
        <v>25</v>
      </c>
      <c r="E315" s="10">
        <v>975.4</v>
      </c>
      <c r="F315" s="5" t="str">
        <f>IF(Dmart_sales_data[[#This Row],[sales]]&gt;3000,"High Sales",IF(Dmart_sales_data[[#This Row],[sales]]&gt;1000,"Medium Sales","Low Sales"))</f>
        <v>Low Sales</v>
      </c>
      <c r="G315" s="10">
        <v>0.4</v>
      </c>
      <c r="H315" s="10">
        <v>5</v>
      </c>
      <c r="I315" s="11">
        <v>45483</v>
      </c>
      <c r="J315" s="11">
        <v>45486</v>
      </c>
      <c r="K315" s="10" t="s">
        <v>32</v>
      </c>
      <c r="L315" s="10" t="s">
        <v>32</v>
      </c>
      <c r="M315" s="10" t="s">
        <v>16</v>
      </c>
      <c r="N315" s="10">
        <v>237.24</v>
      </c>
      <c r="O315" s="27" t="s">
        <v>35</v>
      </c>
      <c r="P315" s="12" t="s">
        <v>58</v>
      </c>
      <c r="Q315" s="55" t="str">
        <f>IF(AND(Dmart_sales_data[[#This Row],[customer_type2]]="Member",OR(Dmart_sales_data[[#This Row],[payment_mode]]="UPI",Dmart_sales_data[[#This Row],[payment_mode]]="Card")),"yes","No")</f>
        <v>No</v>
      </c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</row>
    <row r="316" spans="1:28" ht="14.25" customHeight="1" x14ac:dyDescent="0.3">
      <c r="A316" s="13" t="s">
        <v>358</v>
      </c>
      <c r="B316" s="14" t="s">
        <v>24</v>
      </c>
      <c r="C316" s="14" t="s">
        <v>24</v>
      </c>
      <c r="D316" s="15" t="s">
        <v>14</v>
      </c>
      <c r="E316" s="15">
        <v>813.96</v>
      </c>
      <c r="F316" s="5" t="str">
        <f>IF(Dmart_sales_data[[#This Row],[sales]]&gt;3000,"High Sales",IF(Dmart_sales_data[[#This Row],[sales]]&gt;1000,"Medium Sales","Low Sales"))</f>
        <v>Low Sales</v>
      </c>
      <c r="G316" s="15">
        <v>0.45</v>
      </c>
      <c r="H316" s="15">
        <v>3</v>
      </c>
      <c r="I316" s="16">
        <v>44942</v>
      </c>
      <c r="J316" s="16">
        <v>44944</v>
      </c>
      <c r="K316" s="15" t="s">
        <v>32</v>
      </c>
      <c r="L316" s="15" t="s">
        <v>32</v>
      </c>
      <c r="M316" s="15" t="s">
        <v>26</v>
      </c>
      <c r="N316" s="15">
        <v>108.85</v>
      </c>
      <c r="O316" s="27" t="s">
        <v>35</v>
      </c>
      <c r="P316" s="17" t="s">
        <v>58</v>
      </c>
      <c r="Q316" s="55" t="str">
        <f>IF(AND(Dmart_sales_data[[#This Row],[customer_type2]]="Member",OR(Dmart_sales_data[[#This Row],[payment_mode]]="UPI",Dmart_sales_data[[#This Row],[payment_mode]]="Card")),"yes","No")</f>
        <v>No</v>
      </c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</row>
    <row r="317" spans="1:28" ht="14.25" customHeight="1" x14ac:dyDescent="0.3">
      <c r="A317" s="8" t="s">
        <v>359</v>
      </c>
      <c r="B317" s="9" t="s">
        <v>29</v>
      </c>
      <c r="C317" s="9" t="s">
        <v>29</v>
      </c>
      <c r="D317" s="10" t="s">
        <v>34</v>
      </c>
      <c r="E317" s="10">
        <v>120.19</v>
      </c>
      <c r="F317" s="5" t="str">
        <f>IF(Dmart_sales_data[[#This Row],[sales]]&gt;3000,"High Sales",IF(Dmart_sales_data[[#This Row],[sales]]&gt;1000,"Medium Sales","Low Sales"))</f>
        <v>Low Sales</v>
      </c>
      <c r="G317" s="10">
        <v>0.25</v>
      </c>
      <c r="H317" s="10">
        <v>3</v>
      </c>
      <c r="I317" s="11">
        <v>45364</v>
      </c>
      <c r="J317" s="11">
        <v>45370</v>
      </c>
      <c r="K317" s="10" t="s">
        <v>32</v>
      </c>
      <c r="L317" s="10" t="s">
        <v>32</v>
      </c>
      <c r="M317" s="10" t="s">
        <v>16</v>
      </c>
      <c r="N317" s="10">
        <v>24.31</v>
      </c>
      <c r="O317" s="27" t="s">
        <v>17</v>
      </c>
      <c r="P317" s="12" t="s">
        <v>95</v>
      </c>
      <c r="Q317" s="55" t="str">
        <f>IF(AND(Dmart_sales_data[[#This Row],[customer_type2]]="Member",OR(Dmart_sales_data[[#This Row],[payment_mode]]="UPI",Dmart_sales_data[[#This Row],[payment_mode]]="Card")),"yes","No")</f>
        <v>No</v>
      </c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</row>
    <row r="318" spans="1:28" ht="14.25" customHeight="1" x14ac:dyDescent="0.3">
      <c r="A318" s="13" t="s">
        <v>360</v>
      </c>
      <c r="B318" s="14" t="s">
        <v>13</v>
      </c>
      <c r="C318" s="4" t="s">
        <v>13</v>
      </c>
      <c r="D318" s="15" t="s">
        <v>25</v>
      </c>
      <c r="E318" s="15">
        <v>4710.2</v>
      </c>
      <c r="F318" s="5" t="str">
        <f>IF(Dmart_sales_data[[#This Row],[sales]]&gt;3000,"High Sales",IF(Dmart_sales_data[[#This Row],[sales]]&gt;1000,"Medium Sales","Low Sales"))</f>
        <v>High Sales</v>
      </c>
      <c r="G318" s="15">
        <v>0.35</v>
      </c>
      <c r="H318" s="15">
        <v>1</v>
      </c>
      <c r="I318" s="16">
        <v>45275</v>
      </c>
      <c r="J318" s="16">
        <v>45280</v>
      </c>
      <c r="K318" s="15" t="s">
        <v>32</v>
      </c>
      <c r="L318" s="15" t="s">
        <v>32</v>
      </c>
      <c r="M318" s="15" t="s">
        <v>26</v>
      </c>
      <c r="N318" s="15">
        <v>762.19</v>
      </c>
      <c r="O318" s="27" t="s">
        <v>79</v>
      </c>
      <c r="P318" s="17" t="s">
        <v>79</v>
      </c>
      <c r="Q318" s="55" t="str">
        <f>IF(AND(Dmart_sales_data[[#This Row],[customer_type2]]="Member",OR(Dmart_sales_data[[#This Row],[payment_mode]]="UPI",Dmart_sales_data[[#This Row],[payment_mode]]="Card")),"yes","No")</f>
        <v>No</v>
      </c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</row>
    <row r="319" spans="1:28" ht="14.25" customHeight="1" x14ac:dyDescent="0.3">
      <c r="A319" s="8" t="s">
        <v>361</v>
      </c>
      <c r="B319" s="9" t="s">
        <v>576</v>
      </c>
      <c r="C319" s="9" t="s">
        <v>576</v>
      </c>
      <c r="D319" s="10" t="s">
        <v>14</v>
      </c>
      <c r="E319" s="10">
        <v>4163.34</v>
      </c>
      <c r="F319" s="5" t="str">
        <f>IF(Dmart_sales_data[[#This Row],[sales]]&gt;3000,"High Sales",IF(Dmart_sales_data[[#This Row],[sales]]&gt;1000,"Medium Sales","Low Sales"))</f>
        <v>High Sales</v>
      </c>
      <c r="G319" s="10">
        <v>0.23</v>
      </c>
      <c r="H319" s="10">
        <v>4</v>
      </c>
      <c r="I319" s="11">
        <v>45136</v>
      </c>
      <c r="J319" s="11">
        <v>45141</v>
      </c>
      <c r="K319" s="10" t="s">
        <v>20</v>
      </c>
      <c r="L319" s="10" t="s">
        <v>20</v>
      </c>
      <c r="M319" s="10" t="s">
        <v>21</v>
      </c>
      <c r="N319" s="10">
        <v>468.81</v>
      </c>
      <c r="O319" s="27" t="s">
        <v>100</v>
      </c>
      <c r="P319" s="12" t="s">
        <v>65</v>
      </c>
      <c r="Q319" s="55" t="str">
        <f>IF(AND(Dmart_sales_data[[#This Row],[customer_type2]]="Member",OR(Dmart_sales_data[[#This Row],[payment_mode]]="UPI",Dmart_sales_data[[#This Row],[payment_mode]]="Card")),"yes","No")</f>
        <v>No</v>
      </c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</row>
    <row r="320" spans="1:28" ht="14.25" customHeight="1" x14ac:dyDescent="0.3">
      <c r="A320" s="13" t="s">
        <v>362</v>
      </c>
      <c r="B320" s="14" t="s">
        <v>24</v>
      </c>
      <c r="C320" s="14" t="s">
        <v>24</v>
      </c>
      <c r="D320" s="15" t="s">
        <v>34</v>
      </c>
      <c r="E320" s="15">
        <v>479.63</v>
      </c>
      <c r="F320" s="5" t="str">
        <f>IF(Dmart_sales_data[[#This Row],[sales]]&gt;3000,"High Sales",IF(Dmart_sales_data[[#This Row],[sales]]&gt;1000,"Medium Sales","Low Sales"))</f>
        <v>Low Sales</v>
      </c>
      <c r="G320" s="15">
        <v>0.15</v>
      </c>
      <c r="H320" s="15">
        <v>9</v>
      </c>
      <c r="I320" s="16">
        <v>45086</v>
      </c>
      <c r="J320" s="16">
        <v>45089</v>
      </c>
      <c r="K320" s="15" t="s">
        <v>15</v>
      </c>
      <c r="L320" s="15" t="s">
        <v>15</v>
      </c>
      <c r="M320" s="15" t="s">
        <v>16</v>
      </c>
      <c r="N320" s="15">
        <v>102.29</v>
      </c>
      <c r="O320" s="27" t="s">
        <v>35</v>
      </c>
      <c r="P320" s="17" t="s">
        <v>58</v>
      </c>
      <c r="Q320" s="55" t="str">
        <f>IF(AND(Dmart_sales_data[[#This Row],[customer_type2]]="Member",OR(Dmart_sales_data[[#This Row],[payment_mode]]="UPI",Dmart_sales_data[[#This Row],[payment_mode]]="Card")),"yes","No")</f>
        <v>yes</v>
      </c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</row>
    <row r="321" spans="1:28" ht="14.25" customHeight="1" x14ac:dyDescent="0.3">
      <c r="A321" s="8" t="s">
        <v>363</v>
      </c>
      <c r="B321" s="9" t="s">
        <v>29</v>
      </c>
      <c r="C321" s="9" t="s">
        <v>29</v>
      </c>
      <c r="D321" s="10" t="s">
        <v>19</v>
      </c>
      <c r="E321" s="10">
        <v>3036.94</v>
      </c>
      <c r="F321" s="5" t="str">
        <f>IF(Dmart_sales_data[[#This Row],[sales]]&gt;3000,"High Sales",IF(Dmart_sales_data[[#This Row],[sales]]&gt;1000,"Medium Sales","Low Sales"))</f>
        <v>High Sales</v>
      </c>
      <c r="G321" s="10">
        <v>0.08</v>
      </c>
      <c r="H321" s="10">
        <v>2</v>
      </c>
      <c r="I321" s="11">
        <v>45211</v>
      </c>
      <c r="J321" s="11">
        <v>45214</v>
      </c>
      <c r="K321" s="10" t="s">
        <v>20</v>
      </c>
      <c r="L321" s="10" t="s">
        <v>20</v>
      </c>
      <c r="M321" s="10" t="s">
        <v>16</v>
      </c>
      <c r="N321" s="10">
        <v>697.79</v>
      </c>
      <c r="O321" s="27" t="s">
        <v>41</v>
      </c>
      <c r="P321" s="12" t="s">
        <v>41</v>
      </c>
      <c r="Q321" s="55" t="str">
        <f>IF(AND(Dmart_sales_data[[#This Row],[customer_type2]]="Member",OR(Dmart_sales_data[[#This Row],[payment_mode]]="UPI",Dmart_sales_data[[#This Row],[payment_mode]]="Card")),"yes","No")</f>
        <v>No</v>
      </c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</row>
    <row r="322" spans="1:28" ht="14.25" customHeight="1" x14ac:dyDescent="0.3">
      <c r="A322" s="13" t="s">
        <v>364</v>
      </c>
      <c r="B322" s="14" t="s">
        <v>13</v>
      </c>
      <c r="C322" s="4" t="s">
        <v>13</v>
      </c>
      <c r="D322" s="15" t="s">
        <v>14</v>
      </c>
      <c r="E322" s="15">
        <v>1241.2</v>
      </c>
      <c r="F322" s="5" t="str">
        <f>IF(Dmart_sales_data[[#This Row],[sales]]&gt;3000,"High Sales",IF(Dmart_sales_data[[#This Row],[sales]]&gt;1000,"Medium Sales","Low Sales"))</f>
        <v>Medium Sales</v>
      </c>
      <c r="G322" s="15">
        <v>0.26</v>
      </c>
      <c r="H322" s="15">
        <v>4</v>
      </c>
      <c r="I322" s="16">
        <v>44978</v>
      </c>
      <c r="J322" s="16">
        <v>44981</v>
      </c>
      <c r="K322" s="15" t="s">
        <v>32</v>
      </c>
      <c r="L322" s="15" t="s">
        <v>32</v>
      </c>
      <c r="M322" s="15" t="s">
        <v>26</v>
      </c>
      <c r="N322" s="15">
        <v>226</v>
      </c>
      <c r="O322" s="27" t="s">
        <v>35</v>
      </c>
      <c r="P322" s="17" t="s">
        <v>58</v>
      </c>
      <c r="Q322" s="55" t="str">
        <f>IF(AND(Dmart_sales_data[[#This Row],[customer_type2]]="Member",OR(Dmart_sales_data[[#This Row],[payment_mode]]="UPI",Dmart_sales_data[[#This Row],[payment_mode]]="Card")),"yes","No")</f>
        <v>No</v>
      </c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</row>
    <row r="323" spans="1:28" ht="14.25" customHeight="1" x14ac:dyDescent="0.3">
      <c r="A323" s="8" t="s">
        <v>365</v>
      </c>
      <c r="B323" s="9" t="s">
        <v>576</v>
      </c>
      <c r="C323" s="9" t="s">
        <v>576</v>
      </c>
      <c r="D323" s="10" t="s">
        <v>37</v>
      </c>
      <c r="E323" s="10">
        <v>1393.68</v>
      </c>
      <c r="F323" s="5" t="str">
        <f>IF(Dmart_sales_data[[#This Row],[sales]]&gt;3000,"High Sales",IF(Dmart_sales_data[[#This Row],[sales]]&gt;1000,"Medium Sales","Low Sales"))</f>
        <v>Medium Sales</v>
      </c>
      <c r="G323" s="10">
        <v>0.46</v>
      </c>
      <c r="H323" s="10">
        <v>9</v>
      </c>
      <c r="I323" s="11">
        <v>45007</v>
      </c>
      <c r="J323" s="11">
        <v>45014</v>
      </c>
      <c r="K323" s="10" t="s">
        <v>20</v>
      </c>
      <c r="L323" s="10" t="s">
        <v>20</v>
      </c>
      <c r="M323" s="10" t="s">
        <v>21</v>
      </c>
      <c r="N323" s="10">
        <v>126.14</v>
      </c>
      <c r="O323" s="27" t="s">
        <v>100</v>
      </c>
      <c r="P323" s="12" t="s">
        <v>100</v>
      </c>
      <c r="Q323" s="55" t="str">
        <f>IF(AND(Dmart_sales_data[[#This Row],[customer_type2]]="Member",OR(Dmart_sales_data[[#This Row],[payment_mode]]="UPI",Dmart_sales_data[[#This Row],[payment_mode]]="Card")),"yes","No")</f>
        <v>No</v>
      </c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</row>
    <row r="324" spans="1:28" ht="14.25" customHeight="1" x14ac:dyDescent="0.3">
      <c r="A324" s="13" t="s">
        <v>366</v>
      </c>
      <c r="B324" s="14" t="s">
        <v>24</v>
      </c>
      <c r="C324" s="14" t="s">
        <v>24</v>
      </c>
      <c r="D324" s="15" t="s">
        <v>34</v>
      </c>
      <c r="E324" s="15">
        <v>4383.43</v>
      </c>
      <c r="F324" s="5" t="str">
        <f>IF(Dmart_sales_data[[#This Row],[sales]]&gt;3000,"High Sales",IF(Dmart_sales_data[[#This Row],[sales]]&gt;1000,"Medium Sales","Low Sales"))</f>
        <v>High Sales</v>
      </c>
      <c r="G324" s="15">
        <v>0.44</v>
      </c>
      <c r="H324" s="15">
        <v>9</v>
      </c>
      <c r="I324" s="16">
        <v>45307</v>
      </c>
      <c r="J324" s="16">
        <v>45311</v>
      </c>
      <c r="K324" s="15" t="s">
        <v>15</v>
      </c>
      <c r="L324" s="15" t="s">
        <v>15</v>
      </c>
      <c r="M324" s="15" t="s">
        <v>26</v>
      </c>
      <c r="N324" s="15">
        <v>761.11</v>
      </c>
      <c r="O324" s="27" t="s">
        <v>41</v>
      </c>
      <c r="P324" s="17" t="s">
        <v>41</v>
      </c>
      <c r="Q324" s="55" t="str">
        <f>IF(AND(Dmart_sales_data[[#This Row],[customer_type2]]="Member",OR(Dmart_sales_data[[#This Row],[payment_mode]]="UPI",Dmart_sales_data[[#This Row],[payment_mode]]="Card")),"yes","No")</f>
        <v>No</v>
      </c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</row>
    <row r="325" spans="1:28" ht="14.25" customHeight="1" x14ac:dyDescent="0.3">
      <c r="A325" s="8" t="s">
        <v>367</v>
      </c>
      <c r="B325" s="9" t="s">
        <v>29</v>
      </c>
      <c r="C325" s="9" t="s">
        <v>29</v>
      </c>
      <c r="D325" s="10" t="s">
        <v>25</v>
      </c>
      <c r="E325" s="10">
        <v>660.2</v>
      </c>
      <c r="F325" s="5" t="str">
        <f>IF(Dmart_sales_data[[#This Row],[sales]]&gt;3000,"High Sales",IF(Dmart_sales_data[[#This Row],[sales]]&gt;1000,"Medium Sales","Low Sales"))</f>
        <v>Low Sales</v>
      </c>
      <c r="G325" s="10">
        <v>0.46</v>
      </c>
      <c r="H325" s="10">
        <v>8</v>
      </c>
      <c r="I325" s="11">
        <v>45278</v>
      </c>
      <c r="J325" s="11">
        <v>45279</v>
      </c>
      <c r="K325" s="10" t="s">
        <v>20</v>
      </c>
      <c r="L325" s="10" t="s">
        <v>20</v>
      </c>
      <c r="M325" s="10" t="s">
        <v>21</v>
      </c>
      <c r="N325" s="10">
        <v>159.93</v>
      </c>
      <c r="O325" s="27" t="s">
        <v>79</v>
      </c>
      <c r="P325" s="12" t="s">
        <v>22</v>
      </c>
      <c r="Q325" s="55" t="str">
        <f>IF(AND(Dmart_sales_data[[#This Row],[customer_type2]]="Member",OR(Dmart_sales_data[[#This Row],[payment_mode]]="UPI",Dmart_sales_data[[#This Row],[payment_mode]]="Card")),"yes","No")</f>
        <v>No</v>
      </c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</row>
    <row r="326" spans="1:28" ht="14.25" customHeight="1" x14ac:dyDescent="0.3">
      <c r="A326" s="13" t="s">
        <v>368</v>
      </c>
      <c r="B326" s="14" t="s">
        <v>13</v>
      </c>
      <c r="C326" s="4" t="s">
        <v>13</v>
      </c>
      <c r="D326" s="15" t="s">
        <v>25</v>
      </c>
      <c r="E326" s="15">
        <v>3047.3</v>
      </c>
      <c r="F326" s="5" t="str">
        <f>IF(Dmart_sales_data[[#This Row],[sales]]&gt;3000,"High Sales",IF(Dmart_sales_data[[#This Row],[sales]]&gt;1000,"Medium Sales","Low Sales"))</f>
        <v>High Sales</v>
      </c>
      <c r="G326" s="15">
        <v>0.48</v>
      </c>
      <c r="H326" s="15">
        <v>2</v>
      </c>
      <c r="I326" s="16">
        <v>45211</v>
      </c>
      <c r="J326" s="16">
        <v>45215</v>
      </c>
      <c r="K326" s="15" t="s">
        <v>32</v>
      </c>
      <c r="L326" s="15" t="s">
        <v>32</v>
      </c>
      <c r="M326" s="15" t="s">
        <v>26</v>
      </c>
      <c r="N326" s="15">
        <v>797.25</v>
      </c>
      <c r="O326" s="27" t="s">
        <v>17</v>
      </c>
      <c r="P326" s="17" t="s">
        <v>95</v>
      </c>
      <c r="Q326" s="55" t="str">
        <f>IF(AND(Dmart_sales_data[[#This Row],[customer_type2]]="Member",OR(Dmart_sales_data[[#This Row],[payment_mode]]="UPI",Dmart_sales_data[[#This Row],[payment_mode]]="Card")),"yes","No")</f>
        <v>No</v>
      </c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</row>
    <row r="327" spans="1:28" ht="14.25" customHeight="1" x14ac:dyDescent="0.3">
      <c r="A327" s="8" t="s">
        <v>369</v>
      </c>
      <c r="B327" s="9" t="s">
        <v>576</v>
      </c>
      <c r="C327" s="9" t="s">
        <v>576</v>
      </c>
      <c r="D327" s="10" t="s">
        <v>37</v>
      </c>
      <c r="E327" s="10">
        <v>2066.15</v>
      </c>
      <c r="F327" s="5" t="str">
        <f>IF(Dmart_sales_data[[#This Row],[sales]]&gt;3000,"High Sales",IF(Dmart_sales_data[[#This Row],[sales]]&gt;1000,"Medium Sales","Low Sales"))</f>
        <v>Medium Sales</v>
      </c>
      <c r="G327" s="10">
        <v>0.08</v>
      </c>
      <c r="H327" s="10">
        <v>3</v>
      </c>
      <c r="I327" s="11">
        <v>45416</v>
      </c>
      <c r="J327" s="11">
        <v>45420</v>
      </c>
      <c r="K327" s="10" t="s">
        <v>32</v>
      </c>
      <c r="L327" s="10" t="s">
        <v>32</v>
      </c>
      <c r="M327" s="10" t="s">
        <v>26</v>
      </c>
      <c r="N327" s="10">
        <v>117.23</v>
      </c>
      <c r="O327" s="27" t="s">
        <v>79</v>
      </c>
      <c r="P327" s="12" t="s">
        <v>55</v>
      </c>
      <c r="Q327" s="55" t="str">
        <f>IF(AND(Dmart_sales_data[[#This Row],[customer_type2]]="Member",OR(Dmart_sales_data[[#This Row],[payment_mode]]="UPI",Dmart_sales_data[[#This Row],[payment_mode]]="Card")),"yes","No")</f>
        <v>No</v>
      </c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</row>
    <row r="328" spans="1:28" ht="14.25" customHeight="1" x14ac:dyDescent="0.3">
      <c r="A328" s="13" t="s">
        <v>370</v>
      </c>
      <c r="B328" s="14" t="s">
        <v>24</v>
      </c>
      <c r="C328" s="14" t="s">
        <v>24</v>
      </c>
      <c r="D328" s="15" t="s">
        <v>37</v>
      </c>
      <c r="E328" s="15">
        <v>1034.92</v>
      </c>
      <c r="F328" s="5" t="str">
        <f>IF(Dmart_sales_data[[#This Row],[sales]]&gt;3000,"High Sales",IF(Dmart_sales_data[[#This Row],[sales]]&gt;1000,"Medium Sales","Low Sales"))</f>
        <v>Medium Sales</v>
      </c>
      <c r="G328" s="15">
        <v>7.0000000000000007E-2</v>
      </c>
      <c r="H328" s="15">
        <v>6</v>
      </c>
      <c r="I328" s="16">
        <v>45313</v>
      </c>
      <c r="J328" s="16">
        <v>45318</v>
      </c>
      <c r="K328" s="15" t="s">
        <v>32</v>
      </c>
      <c r="L328" s="15" t="s">
        <v>32</v>
      </c>
      <c r="M328" s="15" t="s">
        <v>26</v>
      </c>
      <c r="N328" s="15">
        <v>100.03</v>
      </c>
      <c r="O328" s="27" t="s">
        <v>35</v>
      </c>
      <c r="P328" s="17" t="s">
        <v>35</v>
      </c>
      <c r="Q328" s="55" t="str">
        <f>IF(AND(Dmart_sales_data[[#This Row],[customer_type2]]="Member",OR(Dmart_sales_data[[#This Row],[payment_mode]]="UPI",Dmart_sales_data[[#This Row],[payment_mode]]="Card")),"yes","No")</f>
        <v>No</v>
      </c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</row>
    <row r="329" spans="1:28" ht="14.25" customHeight="1" x14ac:dyDescent="0.3">
      <c r="A329" s="8" t="s">
        <v>371</v>
      </c>
      <c r="B329" s="9" t="s">
        <v>29</v>
      </c>
      <c r="C329" s="9" t="s">
        <v>29</v>
      </c>
      <c r="D329" s="10" t="s">
        <v>25</v>
      </c>
      <c r="E329" s="10">
        <v>2314.4</v>
      </c>
      <c r="F329" s="5" t="str">
        <f>IF(Dmart_sales_data[[#This Row],[sales]]&gt;3000,"High Sales",IF(Dmart_sales_data[[#This Row],[sales]]&gt;1000,"Medium Sales","Low Sales"))</f>
        <v>Medium Sales</v>
      </c>
      <c r="G329" s="10">
        <v>0.21</v>
      </c>
      <c r="H329" s="10">
        <v>2</v>
      </c>
      <c r="I329" s="11">
        <v>45361</v>
      </c>
      <c r="J329" s="11">
        <v>45367</v>
      </c>
      <c r="K329" s="10" t="s">
        <v>15</v>
      </c>
      <c r="L329" s="10" t="s">
        <v>15</v>
      </c>
      <c r="M329" s="10" t="s">
        <v>16</v>
      </c>
      <c r="N329" s="10">
        <v>653.86</v>
      </c>
      <c r="O329" s="27" t="s">
        <v>41</v>
      </c>
      <c r="P329" s="12" t="s">
        <v>44</v>
      </c>
      <c r="Q329" s="55" t="str">
        <f>IF(AND(Dmart_sales_data[[#This Row],[customer_type2]]="Member",OR(Dmart_sales_data[[#This Row],[payment_mode]]="UPI",Dmart_sales_data[[#This Row],[payment_mode]]="Card")),"yes","No")</f>
        <v>yes</v>
      </c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</row>
    <row r="330" spans="1:28" ht="14.25" customHeight="1" x14ac:dyDescent="0.3">
      <c r="A330" s="13" t="s">
        <v>372</v>
      </c>
      <c r="B330" s="14" t="s">
        <v>13</v>
      </c>
      <c r="C330" s="4" t="s">
        <v>13</v>
      </c>
      <c r="D330" s="15" t="s">
        <v>34</v>
      </c>
      <c r="E330" s="15">
        <v>4708.3999999999996</v>
      </c>
      <c r="F330" s="5" t="str">
        <f>IF(Dmart_sales_data[[#This Row],[sales]]&gt;3000,"High Sales",IF(Dmart_sales_data[[#This Row],[sales]]&gt;1000,"Medium Sales","Low Sales"))</f>
        <v>High Sales</v>
      </c>
      <c r="G330" s="15">
        <v>0.34</v>
      </c>
      <c r="H330" s="15">
        <v>3</v>
      </c>
      <c r="I330" s="16">
        <v>45506</v>
      </c>
      <c r="J330" s="16">
        <v>45511</v>
      </c>
      <c r="K330" s="15" t="s">
        <v>32</v>
      </c>
      <c r="L330" s="15" t="s">
        <v>32</v>
      </c>
      <c r="M330" s="15" t="s">
        <v>16</v>
      </c>
      <c r="N330" s="15">
        <v>1155.56</v>
      </c>
      <c r="O330" s="27" t="s">
        <v>35</v>
      </c>
      <c r="P330" s="17" t="s">
        <v>58</v>
      </c>
      <c r="Q330" s="55" t="str">
        <f>IF(AND(Dmart_sales_data[[#This Row],[customer_type2]]="Member",OR(Dmart_sales_data[[#This Row],[payment_mode]]="UPI",Dmart_sales_data[[#This Row],[payment_mode]]="Card")),"yes","No")</f>
        <v>No</v>
      </c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</row>
    <row r="331" spans="1:28" ht="14.25" customHeight="1" x14ac:dyDescent="0.3">
      <c r="A331" s="8" t="s">
        <v>373</v>
      </c>
      <c r="B331" s="9" t="s">
        <v>576</v>
      </c>
      <c r="C331" s="9" t="s">
        <v>576</v>
      </c>
      <c r="D331" s="10" t="s">
        <v>14</v>
      </c>
      <c r="E331" s="10">
        <v>3929.89</v>
      </c>
      <c r="F331" s="5" t="str">
        <f>IF(Dmart_sales_data[[#This Row],[sales]]&gt;3000,"High Sales",IF(Dmart_sales_data[[#This Row],[sales]]&gt;1000,"Medium Sales","Low Sales"))</f>
        <v>High Sales</v>
      </c>
      <c r="G331" s="10">
        <v>0.22</v>
      </c>
      <c r="H331" s="10">
        <v>1</v>
      </c>
      <c r="I331" s="11">
        <v>44970</v>
      </c>
      <c r="J331" s="11">
        <v>44973</v>
      </c>
      <c r="K331" s="10" t="s">
        <v>32</v>
      </c>
      <c r="L331" s="10" t="s">
        <v>32</v>
      </c>
      <c r="M331" s="10" t="s">
        <v>26</v>
      </c>
      <c r="N331" s="10">
        <v>902.41</v>
      </c>
      <c r="O331" s="27" t="s">
        <v>79</v>
      </c>
      <c r="P331" s="12" t="s">
        <v>79</v>
      </c>
      <c r="Q331" s="55" t="str">
        <f>IF(AND(Dmart_sales_data[[#This Row],[customer_type2]]="Member",OR(Dmart_sales_data[[#This Row],[payment_mode]]="UPI",Dmart_sales_data[[#This Row],[payment_mode]]="Card")),"yes","No")</f>
        <v>No</v>
      </c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</row>
    <row r="332" spans="1:28" ht="14.25" customHeight="1" x14ac:dyDescent="0.3">
      <c r="A332" s="13" t="s">
        <v>374</v>
      </c>
      <c r="B332" s="14" t="s">
        <v>24</v>
      </c>
      <c r="C332" s="14" t="s">
        <v>24</v>
      </c>
      <c r="D332" s="15" t="s">
        <v>37</v>
      </c>
      <c r="E332" s="15">
        <v>747.35</v>
      </c>
      <c r="F332" s="5" t="str">
        <f>IF(Dmart_sales_data[[#This Row],[sales]]&gt;3000,"High Sales",IF(Dmart_sales_data[[#This Row],[sales]]&gt;1000,"Medium Sales","Low Sales"))</f>
        <v>Low Sales</v>
      </c>
      <c r="G332" s="15">
        <v>0.45</v>
      </c>
      <c r="H332" s="15">
        <v>4</v>
      </c>
      <c r="I332" s="16">
        <v>45433</v>
      </c>
      <c r="J332" s="16">
        <v>45438</v>
      </c>
      <c r="K332" s="15" t="s">
        <v>32</v>
      </c>
      <c r="L332" s="15" t="s">
        <v>32</v>
      </c>
      <c r="M332" s="15" t="s">
        <v>21</v>
      </c>
      <c r="N332" s="15">
        <v>63.14</v>
      </c>
      <c r="O332" s="27" t="s">
        <v>79</v>
      </c>
      <c r="P332" s="17" t="s">
        <v>55</v>
      </c>
      <c r="Q332" s="55" t="str">
        <f>IF(AND(Dmart_sales_data[[#This Row],[customer_type2]]="Member",OR(Dmart_sales_data[[#This Row],[payment_mode]]="UPI",Dmart_sales_data[[#This Row],[payment_mode]]="Card")),"yes","No")</f>
        <v>No</v>
      </c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</row>
    <row r="333" spans="1:28" ht="14.25" customHeight="1" x14ac:dyDescent="0.3">
      <c r="A333" s="8" t="s">
        <v>375</v>
      </c>
      <c r="B333" s="9" t="s">
        <v>29</v>
      </c>
      <c r="C333" s="9" t="s">
        <v>29</v>
      </c>
      <c r="D333" s="10" t="s">
        <v>37</v>
      </c>
      <c r="E333" s="10">
        <v>4262.21</v>
      </c>
      <c r="F333" s="5" t="str">
        <f>IF(Dmart_sales_data[[#This Row],[sales]]&gt;3000,"High Sales",IF(Dmart_sales_data[[#This Row],[sales]]&gt;1000,"Medium Sales","Low Sales"))</f>
        <v>High Sales</v>
      </c>
      <c r="G333" s="10">
        <v>0.36</v>
      </c>
      <c r="H333" s="10">
        <v>6</v>
      </c>
      <c r="I333" s="11">
        <v>45588</v>
      </c>
      <c r="J333" s="11">
        <v>45591</v>
      </c>
      <c r="K333" s="10" t="s">
        <v>32</v>
      </c>
      <c r="L333" s="10" t="s">
        <v>32</v>
      </c>
      <c r="M333" s="10" t="s">
        <v>16</v>
      </c>
      <c r="N333" s="10">
        <v>217.76</v>
      </c>
      <c r="O333" s="27" t="s">
        <v>17</v>
      </c>
      <c r="P333" s="12" t="s">
        <v>17</v>
      </c>
      <c r="Q333" s="55" t="str">
        <f>IF(AND(Dmart_sales_data[[#This Row],[customer_type2]]="Member",OR(Dmart_sales_data[[#This Row],[payment_mode]]="UPI",Dmart_sales_data[[#This Row],[payment_mode]]="Card")),"yes","No")</f>
        <v>No</v>
      </c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</row>
    <row r="334" spans="1:28" ht="14.25" customHeight="1" x14ac:dyDescent="0.3">
      <c r="A334" s="13" t="s">
        <v>376</v>
      </c>
      <c r="B334" s="14" t="s">
        <v>13</v>
      </c>
      <c r="C334" s="4" t="s">
        <v>13</v>
      </c>
      <c r="D334" s="15" t="s">
        <v>37</v>
      </c>
      <c r="E334" s="15">
        <v>4693.46</v>
      </c>
      <c r="F334" s="5" t="str">
        <f>IF(Dmart_sales_data[[#This Row],[sales]]&gt;3000,"High Sales",IF(Dmart_sales_data[[#This Row],[sales]]&gt;1000,"Medium Sales","Low Sales"))</f>
        <v>High Sales</v>
      </c>
      <c r="G334" s="15">
        <v>0.32</v>
      </c>
      <c r="H334" s="15">
        <v>1</v>
      </c>
      <c r="I334" s="16">
        <v>45096</v>
      </c>
      <c r="J334" s="16">
        <v>45102</v>
      </c>
      <c r="K334" s="15" t="s">
        <v>20</v>
      </c>
      <c r="L334" s="15" t="s">
        <v>20</v>
      </c>
      <c r="M334" s="15" t="s">
        <v>26</v>
      </c>
      <c r="N334" s="15">
        <v>925.54</v>
      </c>
      <c r="O334" s="27" t="s">
        <v>41</v>
      </c>
      <c r="P334" s="17" t="s">
        <v>44</v>
      </c>
      <c r="Q334" s="55" t="str">
        <f>IF(AND(Dmart_sales_data[[#This Row],[customer_type2]]="Member",OR(Dmart_sales_data[[#This Row],[payment_mode]]="UPI",Dmart_sales_data[[#This Row],[payment_mode]]="Card")),"yes","No")</f>
        <v>No</v>
      </c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</row>
    <row r="335" spans="1:28" ht="14.25" customHeight="1" x14ac:dyDescent="0.3">
      <c r="A335" s="8" t="s">
        <v>377</v>
      </c>
      <c r="B335" s="9" t="s">
        <v>576</v>
      </c>
      <c r="C335" s="9" t="s">
        <v>576</v>
      </c>
      <c r="D335" s="10" t="s">
        <v>19</v>
      </c>
      <c r="E335" s="10">
        <v>1457.12</v>
      </c>
      <c r="F335" s="5" t="str">
        <f>IF(Dmart_sales_data[[#This Row],[sales]]&gt;3000,"High Sales",IF(Dmart_sales_data[[#This Row],[sales]]&gt;1000,"Medium Sales","Low Sales"))</f>
        <v>Medium Sales</v>
      </c>
      <c r="G335" s="10">
        <v>0.04</v>
      </c>
      <c r="H335" s="10">
        <v>1</v>
      </c>
      <c r="I335" s="11">
        <v>45001</v>
      </c>
      <c r="J335" s="11">
        <v>45007</v>
      </c>
      <c r="K335" s="10" t="s">
        <v>32</v>
      </c>
      <c r="L335" s="10" t="s">
        <v>32</v>
      </c>
      <c r="M335" s="10" t="s">
        <v>21</v>
      </c>
      <c r="N335" s="10">
        <v>388.34</v>
      </c>
      <c r="O335" s="27" t="s">
        <v>79</v>
      </c>
      <c r="P335" s="12" t="s">
        <v>55</v>
      </c>
      <c r="Q335" s="55" t="str">
        <f>IF(AND(Dmart_sales_data[[#This Row],[customer_type2]]="Member",OR(Dmart_sales_data[[#This Row],[payment_mode]]="UPI",Dmart_sales_data[[#This Row],[payment_mode]]="Card")),"yes","No")</f>
        <v>No</v>
      </c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</row>
    <row r="336" spans="1:28" ht="14.25" customHeight="1" x14ac:dyDescent="0.3">
      <c r="A336" s="13" t="s">
        <v>378</v>
      </c>
      <c r="B336" s="14" t="s">
        <v>24</v>
      </c>
      <c r="C336" s="14" t="s">
        <v>24</v>
      </c>
      <c r="D336" s="15" t="s">
        <v>34</v>
      </c>
      <c r="E336" s="15">
        <v>1733.76</v>
      </c>
      <c r="F336" s="5" t="str">
        <f>IF(Dmart_sales_data[[#This Row],[sales]]&gt;3000,"High Sales",IF(Dmart_sales_data[[#This Row],[sales]]&gt;1000,"Medium Sales","Low Sales"))</f>
        <v>Medium Sales</v>
      </c>
      <c r="G336" s="15">
        <v>0.09</v>
      </c>
      <c r="H336" s="15">
        <v>8</v>
      </c>
      <c r="I336" s="16">
        <v>44934</v>
      </c>
      <c r="J336" s="16">
        <v>44938</v>
      </c>
      <c r="K336" s="15" t="s">
        <v>20</v>
      </c>
      <c r="L336" s="15" t="s">
        <v>20</v>
      </c>
      <c r="M336" s="15" t="s">
        <v>21</v>
      </c>
      <c r="N336" s="15">
        <v>117.57</v>
      </c>
      <c r="O336" s="27" t="s">
        <v>100</v>
      </c>
      <c r="P336" s="17" t="s">
        <v>100</v>
      </c>
      <c r="Q336" s="55" t="str">
        <f>IF(AND(Dmart_sales_data[[#This Row],[customer_type2]]="Member",OR(Dmart_sales_data[[#This Row],[payment_mode]]="UPI",Dmart_sales_data[[#This Row],[payment_mode]]="Card")),"yes","No")</f>
        <v>No</v>
      </c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</row>
    <row r="337" spans="1:28" ht="14.25" customHeight="1" x14ac:dyDescent="0.3">
      <c r="A337" s="8" t="s">
        <v>379</v>
      </c>
      <c r="B337" s="9" t="s">
        <v>29</v>
      </c>
      <c r="C337" s="9" t="s">
        <v>29</v>
      </c>
      <c r="D337" s="10" t="s">
        <v>34</v>
      </c>
      <c r="E337" s="10">
        <v>718.92</v>
      </c>
      <c r="F337" s="5" t="str">
        <f>IF(Dmart_sales_data[[#This Row],[sales]]&gt;3000,"High Sales",IF(Dmart_sales_data[[#This Row],[sales]]&gt;1000,"Medium Sales","Low Sales"))</f>
        <v>Low Sales</v>
      </c>
      <c r="G337" s="10">
        <v>0.21</v>
      </c>
      <c r="H337" s="10">
        <v>7</v>
      </c>
      <c r="I337" s="11">
        <v>45401</v>
      </c>
      <c r="J337" s="11">
        <v>45402</v>
      </c>
      <c r="K337" s="10" t="s">
        <v>15</v>
      </c>
      <c r="L337" s="10" t="s">
        <v>15</v>
      </c>
      <c r="M337" s="10" t="s">
        <v>21</v>
      </c>
      <c r="N337" s="10">
        <v>48.42</v>
      </c>
      <c r="O337" s="27" t="s">
        <v>100</v>
      </c>
      <c r="P337" s="12" t="s">
        <v>100</v>
      </c>
      <c r="Q337" s="55" t="str">
        <f>IF(AND(Dmart_sales_data[[#This Row],[customer_type2]]="Member",OR(Dmart_sales_data[[#This Row],[payment_mode]]="UPI",Dmart_sales_data[[#This Row],[payment_mode]]="Card")),"yes","No")</f>
        <v>yes</v>
      </c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</row>
    <row r="338" spans="1:28" ht="14.25" customHeight="1" x14ac:dyDescent="0.3">
      <c r="A338" s="13" t="s">
        <v>380</v>
      </c>
      <c r="B338" s="14" t="s">
        <v>13</v>
      </c>
      <c r="C338" s="4" t="s">
        <v>13</v>
      </c>
      <c r="D338" s="15" t="s">
        <v>34</v>
      </c>
      <c r="E338" s="15">
        <v>1790.21</v>
      </c>
      <c r="F338" s="5" t="str">
        <f>IF(Dmart_sales_data[[#This Row],[sales]]&gt;3000,"High Sales",IF(Dmart_sales_data[[#This Row],[sales]]&gt;1000,"Medium Sales","Low Sales"))</f>
        <v>Medium Sales</v>
      </c>
      <c r="G338" s="15">
        <v>0.49</v>
      </c>
      <c r="H338" s="15">
        <v>7</v>
      </c>
      <c r="I338" s="16">
        <v>45098</v>
      </c>
      <c r="J338" s="16">
        <v>45103</v>
      </c>
      <c r="K338" s="15" t="s">
        <v>20</v>
      </c>
      <c r="L338" s="15" t="s">
        <v>20</v>
      </c>
      <c r="M338" s="15" t="s">
        <v>26</v>
      </c>
      <c r="N338" s="15">
        <v>536.41999999999996</v>
      </c>
      <c r="O338" s="27" t="s">
        <v>17</v>
      </c>
      <c r="P338" s="17" t="s">
        <v>17</v>
      </c>
      <c r="Q338" s="55" t="str">
        <f>IF(AND(Dmart_sales_data[[#This Row],[customer_type2]]="Member",OR(Dmart_sales_data[[#This Row],[payment_mode]]="UPI",Dmart_sales_data[[#This Row],[payment_mode]]="Card")),"yes","No")</f>
        <v>No</v>
      </c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</row>
    <row r="339" spans="1:28" ht="14.25" customHeight="1" x14ac:dyDescent="0.3">
      <c r="A339" s="8" t="s">
        <v>381</v>
      </c>
      <c r="B339" s="9" t="s">
        <v>576</v>
      </c>
      <c r="C339" s="9" t="s">
        <v>576</v>
      </c>
      <c r="D339" s="10" t="s">
        <v>34</v>
      </c>
      <c r="E339" s="10">
        <v>3398.39</v>
      </c>
      <c r="F339" s="5" t="str">
        <f>IF(Dmart_sales_data[[#This Row],[sales]]&gt;3000,"High Sales",IF(Dmart_sales_data[[#This Row],[sales]]&gt;1000,"Medium Sales","Low Sales"))</f>
        <v>High Sales</v>
      </c>
      <c r="G339" s="10">
        <v>0.17</v>
      </c>
      <c r="H339" s="10">
        <v>7</v>
      </c>
      <c r="I339" s="11">
        <v>45363</v>
      </c>
      <c r="J339" s="11">
        <v>45367</v>
      </c>
      <c r="K339" s="10" t="s">
        <v>20</v>
      </c>
      <c r="L339" s="10" t="s">
        <v>20</v>
      </c>
      <c r="M339" s="10" t="s">
        <v>16</v>
      </c>
      <c r="N339" s="10">
        <v>370.75</v>
      </c>
      <c r="O339" s="27" t="s">
        <v>100</v>
      </c>
      <c r="P339" s="12" t="s">
        <v>63</v>
      </c>
      <c r="Q339" s="55" t="str">
        <f>IF(AND(Dmart_sales_data[[#This Row],[customer_type2]]="Member",OR(Dmart_sales_data[[#This Row],[payment_mode]]="UPI",Dmart_sales_data[[#This Row],[payment_mode]]="Card")),"yes","No")</f>
        <v>No</v>
      </c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</row>
    <row r="340" spans="1:28" ht="14.25" customHeight="1" x14ac:dyDescent="0.3">
      <c r="A340" s="13" t="s">
        <v>382</v>
      </c>
      <c r="B340" s="14" t="s">
        <v>24</v>
      </c>
      <c r="C340" s="14" t="s">
        <v>24</v>
      </c>
      <c r="D340" s="15" t="s">
        <v>34</v>
      </c>
      <c r="E340" s="15">
        <v>1433.56</v>
      </c>
      <c r="F340" s="5" t="str">
        <f>IF(Dmart_sales_data[[#This Row],[sales]]&gt;3000,"High Sales",IF(Dmart_sales_data[[#This Row],[sales]]&gt;1000,"Medium Sales","Low Sales"))</f>
        <v>Medium Sales</v>
      </c>
      <c r="G340" s="15">
        <v>0.31</v>
      </c>
      <c r="H340" s="15">
        <v>5</v>
      </c>
      <c r="I340" s="16">
        <v>45563</v>
      </c>
      <c r="J340" s="16">
        <v>45569</v>
      </c>
      <c r="K340" s="15" t="s">
        <v>20</v>
      </c>
      <c r="L340" s="15" t="s">
        <v>20</v>
      </c>
      <c r="M340" s="15" t="s">
        <v>21</v>
      </c>
      <c r="N340" s="15">
        <v>310.11</v>
      </c>
      <c r="O340" s="27" t="s">
        <v>27</v>
      </c>
      <c r="P340" s="17" t="s">
        <v>48</v>
      </c>
      <c r="Q340" s="55" t="str">
        <f>IF(AND(Dmart_sales_data[[#This Row],[customer_type2]]="Member",OR(Dmart_sales_data[[#This Row],[payment_mode]]="UPI",Dmart_sales_data[[#This Row],[payment_mode]]="Card")),"yes","No")</f>
        <v>No</v>
      </c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</row>
    <row r="341" spans="1:28" ht="14.25" customHeight="1" x14ac:dyDescent="0.3">
      <c r="A341" s="8" t="s">
        <v>383</v>
      </c>
      <c r="B341" s="9" t="s">
        <v>29</v>
      </c>
      <c r="C341" s="9" t="s">
        <v>29</v>
      </c>
      <c r="D341" s="10" t="s">
        <v>25</v>
      </c>
      <c r="E341" s="10">
        <v>133.44</v>
      </c>
      <c r="F341" s="5" t="str">
        <f>IF(Dmart_sales_data[[#This Row],[sales]]&gt;3000,"High Sales",IF(Dmart_sales_data[[#This Row],[sales]]&gt;1000,"Medium Sales","Low Sales"))</f>
        <v>Low Sales</v>
      </c>
      <c r="G341" s="10">
        <v>0.49</v>
      </c>
      <c r="H341" s="10">
        <v>4</v>
      </c>
      <c r="I341" s="11">
        <v>45652</v>
      </c>
      <c r="J341" s="11">
        <v>45655</v>
      </c>
      <c r="K341" s="10" t="s">
        <v>20</v>
      </c>
      <c r="L341" s="10" t="s">
        <v>20</v>
      </c>
      <c r="M341" s="10" t="s">
        <v>26</v>
      </c>
      <c r="N341" s="10">
        <v>25.28</v>
      </c>
      <c r="O341" s="27" t="s">
        <v>79</v>
      </c>
      <c r="P341" s="12" t="s">
        <v>55</v>
      </c>
      <c r="Q341" s="55" t="str">
        <f>IF(AND(Dmart_sales_data[[#This Row],[customer_type2]]="Member",OR(Dmart_sales_data[[#This Row],[payment_mode]]="UPI",Dmart_sales_data[[#This Row],[payment_mode]]="Card")),"yes","No")</f>
        <v>No</v>
      </c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</row>
    <row r="342" spans="1:28" ht="14.25" customHeight="1" x14ac:dyDescent="0.3">
      <c r="A342" s="13" t="s">
        <v>384</v>
      </c>
      <c r="B342" s="14" t="s">
        <v>13</v>
      </c>
      <c r="C342" s="4" t="s">
        <v>13</v>
      </c>
      <c r="D342" s="15" t="s">
        <v>37</v>
      </c>
      <c r="E342" s="15">
        <v>1758.87</v>
      </c>
      <c r="F342" s="5" t="str">
        <f>IF(Dmart_sales_data[[#This Row],[sales]]&gt;3000,"High Sales",IF(Dmart_sales_data[[#This Row],[sales]]&gt;1000,"Medium Sales","Low Sales"))</f>
        <v>Medium Sales</v>
      </c>
      <c r="G342" s="15">
        <v>0.13</v>
      </c>
      <c r="H342" s="15">
        <v>7</v>
      </c>
      <c r="I342" s="16">
        <v>45377</v>
      </c>
      <c r="J342" s="16">
        <v>45382</v>
      </c>
      <c r="K342" s="15" t="s">
        <v>20</v>
      </c>
      <c r="L342" s="15" t="s">
        <v>20</v>
      </c>
      <c r="M342" s="15" t="s">
        <v>26</v>
      </c>
      <c r="N342" s="15">
        <v>270.22000000000003</v>
      </c>
      <c r="O342" s="27" t="s">
        <v>35</v>
      </c>
      <c r="P342" s="17" t="s">
        <v>30</v>
      </c>
      <c r="Q342" s="55" t="str">
        <f>IF(AND(Dmart_sales_data[[#This Row],[customer_type2]]="Member",OR(Dmart_sales_data[[#This Row],[payment_mode]]="UPI",Dmart_sales_data[[#This Row],[payment_mode]]="Card")),"yes","No")</f>
        <v>No</v>
      </c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</row>
    <row r="343" spans="1:28" ht="14.25" customHeight="1" x14ac:dyDescent="0.3">
      <c r="A343" s="8" t="s">
        <v>385</v>
      </c>
      <c r="B343" s="9" t="s">
        <v>576</v>
      </c>
      <c r="C343" s="9" t="s">
        <v>576</v>
      </c>
      <c r="D343" s="10" t="s">
        <v>25</v>
      </c>
      <c r="E343" s="10">
        <v>2320.5500000000002</v>
      </c>
      <c r="F343" s="5" t="str">
        <f>IF(Dmart_sales_data[[#This Row],[sales]]&gt;3000,"High Sales",IF(Dmart_sales_data[[#This Row],[sales]]&gt;1000,"Medium Sales","Low Sales"))</f>
        <v>Medium Sales</v>
      </c>
      <c r="G343" s="10">
        <v>0.08</v>
      </c>
      <c r="H343" s="10">
        <v>3</v>
      </c>
      <c r="I343" s="11">
        <v>45577</v>
      </c>
      <c r="J343" s="11">
        <v>45583</v>
      </c>
      <c r="K343" s="10" t="s">
        <v>20</v>
      </c>
      <c r="L343" s="10" t="s">
        <v>20</v>
      </c>
      <c r="M343" s="10" t="s">
        <v>26</v>
      </c>
      <c r="N343" s="10">
        <v>581.83000000000004</v>
      </c>
      <c r="O343" s="27" t="s">
        <v>79</v>
      </c>
      <c r="P343" s="12" t="s">
        <v>55</v>
      </c>
      <c r="Q343" s="55" t="str">
        <f>IF(AND(Dmart_sales_data[[#This Row],[customer_type2]]="Member",OR(Dmart_sales_data[[#This Row],[payment_mode]]="UPI",Dmart_sales_data[[#This Row],[payment_mode]]="Card")),"yes","No")</f>
        <v>No</v>
      </c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</row>
    <row r="344" spans="1:28" ht="14.25" customHeight="1" x14ac:dyDescent="0.3">
      <c r="A344" s="13" t="s">
        <v>386</v>
      </c>
      <c r="B344" s="14" t="s">
        <v>24</v>
      </c>
      <c r="C344" s="14" t="s">
        <v>24</v>
      </c>
      <c r="D344" s="15" t="s">
        <v>19</v>
      </c>
      <c r="E344" s="15">
        <v>2875.14</v>
      </c>
      <c r="F344" s="5" t="str">
        <f>IF(Dmart_sales_data[[#This Row],[sales]]&gt;3000,"High Sales",IF(Dmart_sales_data[[#This Row],[sales]]&gt;1000,"Medium Sales","Low Sales"))</f>
        <v>Medium Sales</v>
      </c>
      <c r="G344" s="15">
        <v>0.27</v>
      </c>
      <c r="H344" s="15">
        <v>9</v>
      </c>
      <c r="I344" s="16">
        <v>45593</v>
      </c>
      <c r="J344" s="16">
        <v>45600</v>
      </c>
      <c r="K344" s="15" t="s">
        <v>15</v>
      </c>
      <c r="L344" s="15" t="s">
        <v>15</v>
      </c>
      <c r="M344" s="15" t="s">
        <v>26</v>
      </c>
      <c r="N344" s="15">
        <v>314.73</v>
      </c>
      <c r="O344" s="27" t="s">
        <v>35</v>
      </c>
      <c r="P344" s="17" t="s">
        <v>30</v>
      </c>
      <c r="Q344" s="55" t="str">
        <f>IF(AND(Dmart_sales_data[[#This Row],[customer_type2]]="Member",OR(Dmart_sales_data[[#This Row],[payment_mode]]="UPI",Dmart_sales_data[[#This Row],[payment_mode]]="Card")),"yes","No")</f>
        <v>No</v>
      </c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</row>
    <row r="345" spans="1:28" ht="14.25" customHeight="1" x14ac:dyDescent="0.3">
      <c r="A345" s="8" t="s">
        <v>387</v>
      </c>
      <c r="B345" s="9" t="s">
        <v>29</v>
      </c>
      <c r="C345" s="9" t="s">
        <v>29</v>
      </c>
      <c r="D345" s="10" t="s">
        <v>14</v>
      </c>
      <c r="E345" s="10">
        <v>3450.74</v>
      </c>
      <c r="F345" s="5" t="str">
        <f>IF(Dmart_sales_data[[#This Row],[sales]]&gt;3000,"High Sales",IF(Dmart_sales_data[[#This Row],[sales]]&gt;1000,"Medium Sales","Low Sales"))</f>
        <v>High Sales</v>
      </c>
      <c r="G345" s="10">
        <v>0.28000000000000003</v>
      </c>
      <c r="H345" s="10">
        <v>2</v>
      </c>
      <c r="I345" s="11">
        <v>45573</v>
      </c>
      <c r="J345" s="11">
        <v>45574</v>
      </c>
      <c r="K345" s="10" t="s">
        <v>32</v>
      </c>
      <c r="L345" s="10" t="s">
        <v>32</v>
      </c>
      <c r="M345" s="10" t="s">
        <v>26</v>
      </c>
      <c r="N345" s="10">
        <v>413.97</v>
      </c>
      <c r="O345" s="27" t="s">
        <v>17</v>
      </c>
      <c r="P345" s="12" t="s">
        <v>52</v>
      </c>
      <c r="Q345" s="55" t="str">
        <f>IF(AND(Dmart_sales_data[[#This Row],[customer_type2]]="Member",OR(Dmart_sales_data[[#This Row],[payment_mode]]="UPI",Dmart_sales_data[[#This Row],[payment_mode]]="Card")),"yes","No")</f>
        <v>No</v>
      </c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</row>
    <row r="346" spans="1:28" ht="14.25" customHeight="1" x14ac:dyDescent="0.3">
      <c r="A346" s="13" t="s">
        <v>388</v>
      </c>
      <c r="B346" s="14" t="s">
        <v>13</v>
      </c>
      <c r="C346" s="4" t="s">
        <v>13</v>
      </c>
      <c r="D346" s="15" t="s">
        <v>37</v>
      </c>
      <c r="E346" s="15">
        <v>402.74</v>
      </c>
      <c r="F346" s="5" t="str">
        <f>IF(Dmart_sales_data[[#This Row],[sales]]&gt;3000,"High Sales",IF(Dmart_sales_data[[#This Row],[sales]]&gt;1000,"Medium Sales","Low Sales"))</f>
        <v>Low Sales</v>
      </c>
      <c r="G346" s="15">
        <v>0.46</v>
      </c>
      <c r="H346" s="15">
        <v>1</v>
      </c>
      <c r="I346" s="16">
        <v>45421</v>
      </c>
      <c r="J346" s="16">
        <v>45426</v>
      </c>
      <c r="K346" s="15" t="s">
        <v>15</v>
      </c>
      <c r="L346" s="15" t="s">
        <v>15</v>
      </c>
      <c r="M346" s="15" t="s">
        <v>16</v>
      </c>
      <c r="N346" s="15">
        <v>46.96</v>
      </c>
      <c r="O346" s="27" t="s">
        <v>17</v>
      </c>
      <c r="P346" s="17" t="s">
        <v>95</v>
      </c>
      <c r="Q346" s="55" t="str">
        <f>IF(AND(Dmart_sales_data[[#This Row],[customer_type2]]="Member",OR(Dmart_sales_data[[#This Row],[payment_mode]]="UPI",Dmart_sales_data[[#This Row],[payment_mode]]="Card")),"yes","No")</f>
        <v>yes</v>
      </c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</row>
    <row r="347" spans="1:28" ht="14.25" customHeight="1" x14ac:dyDescent="0.3">
      <c r="A347" s="8" t="s">
        <v>389</v>
      </c>
      <c r="B347" s="9" t="s">
        <v>576</v>
      </c>
      <c r="C347" s="9" t="s">
        <v>576</v>
      </c>
      <c r="D347" s="10" t="s">
        <v>19</v>
      </c>
      <c r="E347" s="10">
        <v>2401.7800000000002</v>
      </c>
      <c r="F347" s="5" t="str">
        <f>IF(Dmart_sales_data[[#This Row],[sales]]&gt;3000,"High Sales",IF(Dmart_sales_data[[#This Row],[sales]]&gt;1000,"Medium Sales","Low Sales"))</f>
        <v>Medium Sales</v>
      </c>
      <c r="G347" s="10">
        <v>0.01</v>
      </c>
      <c r="H347" s="10">
        <v>8</v>
      </c>
      <c r="I347" s="11">
        <v>45385</v>
      </c>
      <c r="J347" s="11">
        <v>45388</v>
      </c>
      <c r="K347" s="10" t="s">
        <v>20</v>
      </c>
      <c r="L347" s="10" t="s">
        <v>20</v>
      </c>
      <c r="M347" s="10" t="s">
        <v>16</v>
      </c>
      <c r="N347" s="10">
        <v>448.63</v>
      </c>
      <c r="O347" s="27" t="s">
        <v>35</v>
      </c>
      <c r="P347" s="12" t="s">
        <v>58</v>
      </c>
      <c r="Q347" s="55" t="str">
        <f>IF(AND(Dmart_sales_data[[#This Row],[customer_type2]]="Member",OR(Dmart_sales_data[[#This Row],[payment_mode]]="UPI",Dmart_sales_data[[#This Row],[payment_mode]]="Card")),"yes","No")</f>
        <v>No</v>
      </c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</row>
    <row r="348" spans="1:28" ht="14.25" customHeight="1" x14ac:dyDescent="0.3">
      <c r="A348" s="13" t="s">
        <v>390</v>
      </c>
      <c r="B348" s="14" t="s">
        <v>24</v>
      </c>
      <c r="C348" s="14" t="s">
        <v>24</v>
      </c>
      <c r="D348" s="15" t="s">
        <v>25</v>
      </c>
      <c r="E348" s="15">
        <v>1405.18</v>
      </c>
      <c r="F348" s="5" t="str">
        <f>IF(Dmart_sales_data[[#This Row],[sales]]&gt;3000,"High Sales",IF(Dmart_sales_data[[#This Row],[sales]]&gt;1000,"Medium Sales","Low Sales"))</f>
        <v>Medium Sales</v>
      </c>
      <c r="G348" s="15">
        <v>0.2</v>
      </c>
      <c r="H348" s="15">
        <v>6</v>
      </c>
      <c r="I348" s="16">
        <v>45111</v>
      </c>
      <c r="J348" s="16">
        <v>45115</v>
      </c>
      <c r="K348" s="15" t="s">
        <v>20</v>
      </c>
      <c r="L348" s="15" t="s">
        <v>20</v>
      </c>
      <c r="M348" s="15" t="s">
        <v>26</v>
      </c>
      <c r="N348" s="15">
        <v>300.73</v>
      </c>
      <c r="O348" s="27" t="s">
        <v>17</v>
      </c>
      <c r="P348" s="17" t="s">
        <v>52</v>
      </c>
      <c r="Q348" s="55" t="str">
        <f>IF(AND(Dmart_sales_data[[#This Row],[customer_type2]]="Member",OR(Dmart_sales_data[[#This Row],[payment_mode]]="UPI",Dmart_sales_data[[#This Row],[payment_mode]]="Card")),"yes","No")</f>
        <v>No</v>
      </c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</row>
    <row r="349" spans="1:28" ht="14.25" customHeight="1" x14ac:dyDescent="0.3">
      <c r="A349" s="8" t="s">
        <v>391</v>
      </c>
      <c r="B349" s="9" t="s">
        <v>29</v>
      </c>
      <c r="C349" s="9" t="s">
        <v>29</v>
      </c>
      <c r="D349" s="10" t="s">
        <v>14</v>
      </c>
      <c r="E349" s="10">
        <v>4745.05</v>
      </c>
      <c r="F349" s="5" t="str">
        <f>IF(Dmart_sales_data[[#This Row],[sales]]&gt;3000,"High Sales",IF(Dmart_sales_data[[#This Row],[sales]]&gt;1000,"Medium Sales","Low Sales"))</f>
        <v>High Sales</v>
      </c>
      <c r="G349" s="10">
        <v>0.16</v>
      </c>
      <c r="H349" s="10">
        <v>4</v>
      </c>
      <c r="I349" s="11">
        <v>45655</v>
      </c>
      <c r="J349" s="11">
        <v>45661</v>
      </c>
      <c r="K349" s="10" t="s">
        <v>20</v>
      </c>
      <c r="L349" s="10" t="s">
        <v>20</v>
      </c>
      <c r="M349" s="10" t="s">
        <v>16</v>
      </c>
      <c r="N349" s="10">
        <v>347.16</v>
      </c>
      <c r="O349" s="27" t="s">
        <v>41</v>
      </c>
      <c r="P349" s="12" t="s">
        <v>44</v>
      </c>
      <c r="Q349" s="55" t="str">
        <f>IF(AND(Dmart_sales_data[[#This Row],[customer_type2]]="Member",OR(Dmart_sales_data[[#This Row],[payment_mode]]="UPI",Dmart_sales_data[[#This Row],[payment_mode]]="Card")),"yes","No")</f>
        <v>No</v>
      </c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</row>
    <row r="350" spans="1:28" ht="14.25" customHeight="1" x14ac:dyDescent="0.3">
      <c r="A350" s="13" t="s">
        <v>392</v>
      </c>
      <c r="B350" s="14" t="s">
        <v>13</v>
      </c>
      <c r="C350" s="4" t="s">
        <v>13</v>
      </c>
      <c r="D350" s="15" t="s">
        <v>19</v>
      </c>
      <c r="E350" s="15">
        <v>1863.5</v>
      </c>
      <c r="F350" s="5" t="str">
        <f>IF(Dmart_sales_data[[#This Row],[sales]]&gt;3000,"High Sales",IF(Dmart_sales_data[[#This Row],[sales]]&gt;1000,"Medium Sales","Low Sales"))</f>
        <v>Medium Sales</v>
      </c>
      <c r="G350" s="15">
        <v>0.28999999999999998</v>
      </c>
      <c r="H350" s="15">
        <v>9</v>
      </c>
      <c r="I350" s="16">
        <v>45093</v>
      </c>
      <c r="J350" s="16">
        <v>45100</v>
      </c>
      <c r="K350" s="15" t="s">
        <v>15</v>
      </c>
      <c r="L350" s="15" t="s">
        <v>15</v>
      </c>
      <c r="M350" s="15" t="s">
        <v>26</v>
      </c>
      <c r="N350" s="15">
        <v>161.51</v>
      </c>
      <c r="O350" s="27" t="s">
        <v>17</v>
      </c>
      <c r="P350" s="17" t="s">
        <v>17</v>
      </c>
      <c r="Q350" s="55" t="str">
        <f>IF(AND(Dmart_sales_data[[#This Row],[customer_type2]]="Member",OR(Dmart_sales_data[[#This Row],[payment_mode]]="UPI",Dmart_sales_data[[#This Row],[payment_mode]]="Card")),"yes","No")</f>
        <v>No</v>
      </c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</row>
    <row r="351" spans="1:28" ht="14.25" customHeight="1" x14ac:dyDescent="0.3">
      <c r="A351" s="8" t="s">
        <v>393</v>
      </c>
      <c r="B351" s="9" t="s">
        <v>576</v>
      </c>
      <c r="C351" s="9" t="s">
        <v>576</v>
      </c>
      <c r="D351" s="10" t="s">
        <v>14</v>
      </c>
      <c r="E351" s="10">
        <v>590.61</v>
      </c>
      <c r="F351" s="5" t="str">
        <f>IF(Dmart_sales_data[[#This Row],[sales]]&gt;3000,"High Sales",IF(Dmart_sales_data[[#This Row],[sales]]&gt;1000,"Medium Sales","Low Sales"))</f>
        <v>Low Sales</v>
      </c>
      <c r="G351" s="10">
        <v>0</v>
      </c>
      <c r="H351" s="10">
        <v>5</v>
      </c>
      <c r="I351" s="11">
        <v>45233</v>
      </c>
      <c r="J351" s="11">
        <v>45240</v>
      </c>
      <c r="K351" s="10" t="s">
        <v>20</v>
      </c>
      <c r="L351" s="10" t="s">
        <v>20</v>
      </c>
      <c r="M351" s="10" t="s">
        <v>21</v>
      </c>
      <c r="N351" s="10">
        <v>46.99</v>
      </c>
      <c r="O351" s="27" t="s">
        <v>100</v>
      </c>
      <c r="P351" s="12" t="s">
        <v>63</v>
      </c>
      <c r="Q351" s="55" t="str">
        <f>IF(AND(Dmart_sales_data[[#This Row],[customer_type2]]="Member",OR(Dmart_sales_data[[#This Row],[payment_mode]]="UPI",Dmart_sales_data[[#This Row],[payment_mode]]="Card")),"yes","No")</f>
        <v>No</v>
      </c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</row>
    <row r="352" spans="1:28" ht="14.25" customHeight="1" x14ac:dyDescent="0.3">
      <c r="A352" s="13" t="s">
        <v>394</v>
      </c>
      <c r="B352" s="14" t="s">
        <v>24</v>
      </c>
      <c r="C352" s="14" t="s">
        <v>24</v>
      </c>
      <c r="D352" s="15" t="s">
        <v>19</v>
      </c>
      <c r="E352" s="15">
        <v>303.31</v>
      </c>
      <c r="F352" s="5" t="str">
        <f>IF(Dmart_sales_data[[#This Row],[sales]]&gt;3000,"High Sales",IF(Dmart_sales_data[[#This Row],[sales]]&gt;1000,"Medium Sales","Low Sales"))</f>
        <v>Low Sales</v>
      </c>
      <c r="G352" s="15">
        <v>0.36</v>
      </c>
      <c r="H352" s="15">
        <v>1</v>
      </c>
      <c r="I352" s="16">
        <v>45203</v>
      </c>
      <c r="J352" s="16">
        <v>45207</v>
      </c>
      <c r="K352" s="15" t="s">
        <v>15</v>
      </c>
      <c r="L352" s="15" t="s">
        <v>15</v>
      </c>
      <c r="M352" s="15" t="s">
        <v>16</v>
      </c>
      <c r="N352" s="15">
        <v>64.56</v>
      </c>
      <c r="O352" s="27" t="s">
        <v>27</v>
      </c>
      <c r="P352" s="17" t="s">
        <v>27</v>
      </c>
      <c r="Q352" s="55" t="str">
        <f>IF(AND(Dmart_sales_data[[#This Row],[customer_type2]]="Member",OR(Dmart_sales_data[[#This Row],[payment_mode]]="UPI",Dmart_sales_data[[#This Row],[payment_mode]]="Card")),"yes","No")</f>
        <v>yes</v>
      </c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</row>
    <row r="353" spans="1:28" ht="14.25" customHeight="1" x14ac:dyDescent="0.3">
      <c r="A353" s="8" t="s">
        <v>395</v>
      </c>
      <c r="B353" s="9" t="s">
        <v>29</v>
      </c>
      <c r="C353" s="9" t="s">
        <v>29</v>
      </c>
      <c r="D353" s="10" t="s">
        <v>25</v>
      </c>
      <c r="E353" s="10">
        <v>1400.49</v>
      </c>
      <c r="F353" s="5" t="str">
        <f>IF(Dmart_sales_data[[#This Row],[sales]]&gt;3000,"High Sales",IF(Dmart_sales_data[[#This Row],[sales]]&gt;1000,"Medium Sales","Low Sales"))</f>
        <v>Medium Sales</v>
      </c>
      <c r="G353" s="10">
        <v>0.24</v>
      </c>
      <c r="H353" s="10">
        <v>1</v>
      </c>
      <c r="I353" s="11">
        <v>45016</v>
      </c>
      <c r="J353" s="11">
        <v>45017</v>
      </c>
      <c r="K353" s="10" t="s">
        <v>20</v>
      </c>
      <c r="L353" s="10" t="s">
        <v>20</v>
      </c>
      <c r="M353" s="10" t="s">
        <v>16</v>
      </c>
      <c r="N353" s="10">
        <v>289</v>
      </c>
      <c r="O353" s="27" t="s">
        <v>79</v>
      </c>
      <c r="P353" s="12" t="s">
        <v>79</v>
      </c>
      <c r="Q353" s="55" t="str">
        <f>IF(AND(Dmart_sales_data[[#This Row],[customer_type2]]="Member",OR(Dmart_sales_data[[#This Row],[payment_mode]]="UPI",Dmart_sales_data[[#This Row],[payment_mode]]="Card")),"yes","No")</f>
        <v>No</v>
      </c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</row>
    <row r="354" spans="1:28" ht="14.25" customHeight="1" x14ac:dyDescent="0.3">
      <c r="A354" s="13" t="s">
        <v>396</v>
      </c>
      <c r="B354" s="14" t="s">
        <v>13</v>
      </c>
      <c r="C354" s="4" t="s">
        <v>13</v>
      </c>
      <c r="D354" s="15" t="s">
        <v>14</v>
      </c>
      <c r="E354" s="15">
        <v>976.51</v>
      </c>
      <c r="F354" s="5" t="str">
        <f>IF(Dmart_sales_data[[#This Row],[sales]]&gt;3000,"High Sales",IF(Dmart_sales_data[[#This Row],[sales]]&gt;1000,"Medium Sales","Low Sales"))</f>
        <v>Low Sales</v>
      </c>
      <c r="G354" s="15">
        <v>0.35</v>
      </c>
      <c r="H354" s="15">
        <v>7</v>
      </c>
      <c r="I354" s="16">
        <v>45145</v>
      </c>
      <c r="J354" s="16">
        <v>45146</v>
      </c>
      <c r="K354" s="15" t="s">
        <v>20</v>
      </c>
      <c r="L354" s="15" t="s">
        <v>20</v>
      </c>
      <c r="M354" s="15" t="s">
        <v>26</v>
      </c>
      <c r="N354" s="15">
        <v>251.49</v>
      </c>
      <c r="O354" s="27" t="s">
        <v>79</v>
      </c>
      <c r="P354" s="17" t="s">
        <v>55</v>
      </c>
      <c r="Q354" s="55" t="str">
        <f>IF(AND(Dmart_sales_data[[#This Row],[customer_type2]]="Member",OR(Dmart_sales_data[[#This Row],[payment_mode]]="UPI",Dmart_sales_data[[#This Row],[payment_mode]]="Card")),"yes","No")</f>
        <v>No</v>
      </c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</row>
    <row r="355" spans="1:28" ht="14.25" customHeight="1" x14ac:dyDescent="0.3">
      <c r="A355" s="8" t="s">
        <v>397</v>
      </c>
      <c r="B355" s="9" t="s">
        <v>576</v>
      </c>
      <c r="C355" s="9" t="s">
        <v>576</v>
      </c>
      <c r="D355" s="10" t="s">
        <v>19</v>
      </c>
      <c r="E355" s="10">
        <v>3284.02</v>
      </c>
      <c r="F355" s="5" t="str">
        <f>IF(Dmart_sales_data[[#This Row],[sales]]&gt;3000,"High Sales",IF(Dmart_sales_data[[#This Row],[sales]]&gt;1000,"Medium Sales","Low Sales"))</f>
        <v>High Sales</v>
      </c>
      <c r="G355" s="10">
        <v>0.22</v>
      </c>
      <c r="H355" s="10">
        <v>1</v>
      </c>
      <c r="I355" s="11">
        <v>45367</v>
      </c>
      <c r="J355" s="11">
        <v>45371</v>
      </c>
      <c r="K355" s="10" t="s">
        <v>15</v>
      </c>
      <c r="L355" s="10" t="s">
        <v>15</v>
      </c>
      <c r="M355" s="10" t="s">
        <v>26</v>
      </c>
      <c r="N355" s="10">
        <v>399.43</v>
      </c>
      <c r="O355" s="27" t="s">
        <v>100</v>
      </c>
      <c r="P355" s="12" t="s">
        <v>100</v>
      </c>
      <c r="Q355" s="55" t="str">
        <f>IF(AND(Dmart_sales_data[[#This Row],[customer_type2]]="Member",OR(Dmart_sales_data[[#This Row],[payment_mode]]="UPI",Dmart_sales_data[[#This Row],[payment_mode]]="Card")),"yes","No")</f>
        <v>No</v>
      </c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</row>
    <row r="356" spans="1:28" ht="14.25" customHeight="1" x14ac:dyDescent="0.3">
      <c r="A356" s="13" t="s">
        <v>398</v>
      </c>
      <c r="B356" s="14" t="s">
        <v>24</v>
      </c>
      <c r="C356" s="14" t="s">
        <v>24</v>
      </c>
      <c r="D356" s="15" t="s">
        <v>25</v>
      </c>
      <c r="E356" s="15">
        <v>4250.1400000000003</v>
      </c>
      <c r="F356" s="5" t="str">
        <f>IF(Dmart_sales_data[[#This Row],[sales]]&gt;3000,"High Sales",IF(Dmart_sales_data[[#This Row],[sales]]&gt;1000,"Medium Sales","Low Sales"))</f>
        <v>High Sales</v>
      </c>
      <c r="G356" s="15">
        <v>0.24</v>
      </c>
      <c r="H356" s="15">
        <v>6</v>
      </c>
      <c r="I356" s="16">
        <v>45617</v>
      </c>
      <c r="J356" s="16">
        <v>45619</v>
      </c>
      <c r="K356" s="15" t="s">
        <v>15</v>
      </c>
      <c r="L356" s="15" t="s">
        <v>15</v>
      </c>
      <c r="M356" s="15" t="s">
        <v>16</v>
      </c>
      <c r="N356" s="15">
        <v>990.91</v>
      </c>
      <c r="O356" s="27" t="s">
        <v>100</v>
      </c>
      <c r="P356" s="17" t="s">
        <v>100</v>
      </c>
      <c r="Q356" s="55" t="str">
        <f>IF(AND(Dmart_sales_data[[#This Row],[customer_type2]]="Member",OR(Dmart_sales_data[[#This Row],[payment_mode]]="UPI",Dmart_sales_data[[#This Row],[payment_mode]]="Card")),"yes","No")</f>
        <v>yes</v>
      </c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</row>
    <row r="357" spans="1:28" ht="14.25" customHeight="1" x14ac:dyDescent="0.3">
      <c r="A357" s="8" t="s">
        <v>399</v>
      </c>
      <c r="B357" s="9" t="s">
        <v>29</v>
      </c>
      <c r="C357" s="9" t="s">
        <v>29</v>
      </c>
      <c r="D357" s="10" t="s">
        <v>37</v>
      </c>
      <c r="E357" s="10">
        <v>1631.54</v>
      </c>
      <c r="F357" s="5" t="str">
        <f>IF(Dmart_sales_data[[#This Row],[sales]]&gt;3000,"High Sales",IF(Dmart_sales_data[[#This Row],[sales]]&gt;1000,"Medium Sales","Low Sales"))</f>
        <v>Medium Sales</v>
      </c>
      <c r="G357" s="10">
        <v>0.45</v>
      </c>
      <c r="H357" s="10">
        <v>7</v>
      </c>
      <c r="I357" s="11">
        <v>45547</v>
      </c>
      <c r="J357" s="11">
        <v>45551</v>
      </c>
      <c r="K357" s="10" t="s">
        <v>15</v>
      </c>
      <c r="L357" s="10" t="s">
        <v>15</v>
      </c>
      <c r="M357" s="10" t="s">
        <v>21</v>
      </c>
      <c r="N357" s="10">
        <v>197.89</v>
      </c>
      <c r="O357" s="27" t="s">
        <v>17</v>
      </c>
      <c r="P357" s="12" t="s">
        <v>95</v>
      </c>
      <c r="Q357" s="55" t="str">
        <f>IF(AND(Dmart_sales_data[[#This Row],[customer_type2]]="Member",OR(Dmart_sales_data[[#This Row],[payment_mode]]="UPI",Dmart_sales_data[[#This Row],[payment_mode]]="Card")),"yes","No")</f>
        <v>yes</v>
      </c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</row>
    <row r="358" spans="1:28" ht="14.25" customHeight="1" x14ac:dyDescent="0.3">
      <c r="A358" s="13" t="s">
        <v>400</v>
      </c>
      <c r="B358" s="14" t="s">
        <v>13</v>
      </c>
      <c r="C358" s="4" t="s">
        <v>13</v>
      </c>
      <c r="D358" s="15" t="s">
        <v>25</v>
      </c>
      <c r="E358" s="15">
        <v>2931.18</v>
      </c>
      <c r="F358" s="5" t="str">
        <f>IF(Dmart_sales_data[[#This Row],[sales]]&gt;3000,"High Sales",IF(Dmart_sales_data[[#This Row],[sales]]&gt;1000,"Medium Sales","Low Sales"))</f>
        <v>Medium Sales</v>
      </c>
      <c r="G358" s="15">
        <v>0.11</v>
      </c>
      <c r="H358" s="15">
        <v>5</v>
      </c>
      <c r="I358" s="16">
        <v>45555</v>
      </c>
      <c r="J358" s="16">
        <v>45558</v>
      </c>
      <c r="K358" s="15" t="s">
        <v>15</v>
      </c>
      <c r="L358" s="15" t="s">
        <v>15</v>
      </c>
      <c r="M358" s="15" t="s">
        <v>16</v>
      </c>
      <c r="N358" s="15">
        <v>697.38</v>
      </c>
      <c r="O358" s="27" t="s">
        <v>17</v>
      </c>
      <c r="P358" s="17" t="s">
        <v>52</v>
      </c>
      <c r="Q358" s="55" t="str">
        <f>IF(AND(Dmart_sales_data[[#This Row],[customer_type2]]="Member",OR(Dmart_sales_data[[#This Row],[payment_mode]]="UPI",Dmart_sales_data[[#This Row],[payment_mode]]="Card")),"yes","No")</f>
        <v>yes</v>
      </c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</row>
    <row r="359" spans="1:28" ht="14.25" customHeight="1" x14ac:dyDescent="0.3">
      <c r="A359" s="8" t="s">
        <v>401</v>
      </c>
      <c r="B359" s="9" t="s">
        <v>576</v>
      </c>
      <c r="C359" s="9" t="s">
        <v>576</v>
      </c>
      <c r="D359" s="10" t="s">
        <v>25</v>
      </c>
      <c r="E359" s="10">
        <v>3678.5</v>
      </c>
      <c r="F359" s="5" t="str">
        <f>IF(Dmart_sales_data[[#This Row],[sales]]&gt;3000,"High Sales",IF(Dmart_sales_data[[#This Row],[sales]]&gt;1000,"Medium Sales","Low Sales"))</f>
        <v>High Sales</v>
      </c>
      <c r="G359" s="10">
        <v>0.11</v>
      </c>
      <c r="H359" s="10">
        <v>3</v>
      </c>
      <c r="I359" s="11">
        <v>45324</v>
      </c>
      <c r="J359" s="11">
        <v>45329</v>
      </c>
      <c r="K359" s="10" t="s">
        <v>20</v>
      </c>
      <c r="L359" s="10" t="s">
        <v>20</v>
      </c>
      <c r="M359" s="10" t="s">
        <v>16</v>
      </c>
      <c r="N359" s="10">
        <v>743.04</v>
      </c>
      <c r="O359" s="27" t="s">
        <v>27</v>
      </c>
      <c r="P359" s="12" t="s">
        <v>27</v>
      </c>
      <c r="Q359" s="55" t="str">
        <f>IF(AND(Dmart_sales_data[[#This Row],[customer_type2]]="Member",OR(Dmart_sales_data[[#This Row],[payment_mode]]="UPI",Dmart_sales_data[[#This Row],[payment_mode]]="Card")),"yes","No")</f>
        <v>No</v>
      </c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</row>
    <row r="360" spans="1:28" ht="14.25" customHeight="1" x14ac:dyDescent="0.3">
      <c r="A360" s="13" t="s">
        <v>402</v>
      </c>
      <c r="B360" s="14" t="s">
        <v>24</v>
      </c>
      <c r="C360" s="14" t="s">
        <v>24</v>
      </c>
      <c r="D360" s="15" t="s">
        <v>37</v>
      </c>
      <c r="E360" s="15">
        <v>2052.59</v>
      </c>
      <c r="F360" s="5" t="str">
        <f>IF(Dmart_sales_data[[#This Row],[sales]]&gt;3000,"High Sales",IF(Dmart_sales_data[[#This Row],[sales]]&gt;1000,"Medium Sales","Low Sales"))</f>
        <v>Medium Sales</v>
      </c>
      <c r="G360" s="15">
        <v>0.28000000000000003</v>
      </c>
      <c r="H360" s="15">
        <v>3</v>
      </c>
      <c r="I360" s="16">
        <v>45397</v>
      </c>
      <c r="J360" s="16">
        <v>45399</v>
      </c>
      <c r="K360" s="15" t="s">
        <v>20</v>
      </c>
      <c r="L360" s="15" t="s">
        <v>20</v>
      </c>
      <c r="M360" s="15" t="s">
        <v>16</v>
      </c>
      <c r="N360" s="15">
        <v>315.05</v>
      </c>
      <c r="O360" s="27" t="s">
        <v>79</v>
      </c>
      <c r="P360" s="17" t="s">
        <v>79</v>
      </c>
      <c r="Q360" s="55" t="str">
        <f>IF(AND(Dmart_sales_data[[#This Row],[customer_type2]]="Member",OR(Dmart_sales_data[[#This Row],[payment_mode]]="UPI",Dmart_sales_data[[#This Row],[payment_mode]]="Card")),"yes","No")</f>
        <v>No</v>
      </c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</row>
    <row r="361" spans="1:28" ht="14.25" customHeight="1" x14ac:dyDescent="0.3">
      <c r="A361" s="8" t="s">
        <v>403</v>
      </c>
      <c r="B361" s="9" t="s">
        <v>29</v>
      </c>
      <c r="C361" s="9" t="s">
        <v>29</v>
      </c>
      <c r="D361" s="10" t="s">
        <v>25</v>
      </c>
      <c r="E361" s="10">
        <v>425</v>
      </c>
      <c r="F361" s="5" t="str">
        <f>IF(Dmart_sales_data[[#This Row],[sales]]&gt;3000,"High Sales",IF(Dmart_sales_data[[#This Row],[sales]]&gt;1000,"Medium Sales","Low Sales"))</f>
        <v>Low Sales</v>
      </c>
      <c r="G361" s="10">
        <v>0.33</v>
      </c>
      <c r="H361" s="10">
        <v>2</v>
      </c>
      <c r="I361" s="11">
        <v>45336</v>
      </c>
      <c r="J361" s="11">
        <v>45343</v>
      </c>
      <c r="K361" s="10" t="s">
        <v>32</v>
      </c>
      <c r="L361" s="10" t="s">
        <v>32</v>
      </c>
      <c r="M361" s="10" t="s">
        <v>21</v>
      </c>
      <c r="N361" s="10">
        <v>88.73</v>
      </c>
      <c r="O361" s="27" t="s">
        <v>100</v>
      </c>
      <c r="P361" s="12" t="s">
        <v>100</v>
      </c>
      <c r="Q361" s="55" t="str">
        <f>IF(AND(Dmart_sales_data[[#This Row],[customer_type2]]="Member",OR(Dmart_sales_data[[#This Row],[payment_mode]]="UPI",Dmart_sales_data[[#This Row],[payment_mode]]="Card")),"yes","No")</f>
        <v>No</v>
      </c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</row>
    <row r="362" spans="1:28" ht="14.25" customHeight="1" x14ac:dyDescent="0.3">
      <c r="A362" s="13" t="s">
        <v>404</v>
      </c>
      <c r="B362" s="14" t="s">
        <v>13</v>
      </c>
      <c r="C362" s="4" t="s">
        <v>13</v>
      </c>
      <c r="D362" s="15" t="s">
        <v>37</v>
      </c>
      <c r="E362" s="15">
        <v>1223.01</v>
      </c>
      <c r="F362" s="5" t="str">
        <f>IF(Dmart_sales_data[[#This Row],[sales]]&gt;3000,"High Sales",IF(Dmart_sales_data[[#This Row],[sales]]&gt;1000,"Medium Sales","Low Sales"))</f>
        <v>Medium Sales</v>
      </c>
      <c r="G362" s="15">
        <v>0.18</v>
      </c>
      <c r="H362" s="15">
        <v>1</v>
      </c>
      <c r="I362" s="16">
        <v>45544</v>
      </c>
      <c r="J362" s="16">
        <v>45548</v>
      </c>
      <c r="K362" s="15" t="s">
        <v>20</v>
      </c>
      <c r="L362" s="15" t="s">
        <v>20</v>
      </c>
      <c r="M362" s="15" t="s">
        <v>21</v>
      </c>
      <c r="N362" s="15">
        <v>319.61</v>
      </c>
      <c r="O362" s="27" t="s">
        <v>79</v>
      </c>
      <c r="P362" s="17" t="s">
        <v>55</v>
      </c>
      <c r="Q362" s="55" t="str">
        <f>IF(AND(Dmart_sales_data[[#This Row],[customer_type2]]="Member",OR(Dmart_sales_data[[#This Row],[payment_mode]]="UPI",Dmart_sales_data[[#This Row],[payment_mode]]="Card")),"yes","No")</f>
        <v>No</v>
      </c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</row>
    <row r="363" spans="1:28" ht="14.25" customHeight="1" x14ac:dyDescent="0.3">
      <c r="A363" s="8" t="s">
        <v>405</v>
      </c>
      <c r="B363" s="9" t="s">
        <v>576</v>
      </c>
      <c r="C363" s="9" t="s">
        <v>576</v>
      </c>
      <c r="D363" s="10" t="s">
        <v>37</v>
      </c>
      <c r="E363" s="10">
        <v>4427.0200000000004</v>
      </c>
      <c r="F363" s="5" t="str">
        <f>IF(Dmart_sales_data[[#This Row],[sales]]&gt;3000,"High Sales",IF(Dmart_sales_data[[#This Row],[sales]]&gt;1000,"Medium Sales","Low Sales"))</f>
        <v>High Sales</v>
      </c>
      <c r="G363" s="10">
        <v>0.26</v>
      </c>
      <c r="H363" s="10">
        <v>8</v>
      </c>
      <c r="I363" s="11">
        <v>45210</v>
      </c>
      <c r="J363" s="11">
        <v>45215</v>
      </c>
      <c r="K363" s="10" t="s">
        <v>20</v>
      </c>
      <c r="L363" s="10" t="s">
        <v>20</v>
      </c>
      <c r="M363" s="10" t="s">
        <v>26</v>
      </c>
      <c r="N363" s="10">
        <v>466.97</v>
      </c>
      <c r="O363" s="27" t="s">
        <v>27</v>
      </c>
      <c r="P363" s="12" t="s">
        <v>27</v>
      </c>
      <c r="Q363" s="55" t="str">
        <f>IF(AND(Dmart_sales_data[[#This Row],[customer_type2]]="Member",OR(Dmart_sales_data[[#This Row],[payment_mode]]="UPI",Dmart_sales_data[[#This Row],[payment_mode]]="Card")),"yes","No")</f>
        <v>No</v>
      </c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</row>
    <row r="364" spans="1:28" ht="14.25" customHeight="1" x14ac:dyDescent="0.3">
      <c r="A364" s="13" t="s">
        <v>406</v>
      </c>
      <c r="B364" s="14" t="s">
        <v>24</v>
      </c>
      <c r="C364" s="14" t="s">
        <v>24</v>
      </c>
      <c r="D364" s="15" t="s">
        <v>37</v>
      </c>
      <c r="E364" s="15">
        <v>4139.95</v>
      </c>
      <c r="F364" s="5" t="str">
        <f>IF(Dmart_sales_data[[#This Row],[sales]]&gt;3000,"High Sales",IF(Dmart_sales_data[[#This Row],[sales]]&gt;1000,"Medium Sales","Low Sales"))</f>
        <v>High Sales</v>
      </c>
      <c r="G364" s="15">
        <v>0.11</v>
      </c>
      <c r="H364" s="15">
        <v>9</v>
      </c>
      <c r="I364" s="16">
        <v>45157</v>
      </c>
      <c r="J364" s="16">
        <v>45163</v>
      </c>
      <c r="K364" s="15" t="s">
        <v>20</v>
      </c>
      <c r="L364" s="15" t="s">
        <v>20</v>
      </c>
      <c r="M364" s="15" t="s">
        <v>16</v>
      </c>
      <c r="N364" s="15">
        <v>843.52</v>
      </c>
      <c r="O364" s="27" t="s">
        <v>100</v>
      </c>
      <c r="P364" s="17" t="s">
        <v>63</v>
      </c>
      <c r="Q364" s="55" t="str">
        <f>IF(AND(Dmart_sales_data[[#This Row],[customer_type2]]="Member",OR(Dmart_sales_data[[#This Row],[payment_mode]]="UPI",Dmart_sales_data[[#This Row],[payment_mode]]="Card")),"yes","No")</f>
        <v>No</v>
      </c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</row>
    <row r="365" spans="1:28" ht="14.25" customHeight="1" x14ac:dyDescent="0.3">
      <c r="A365" s="8" t="s">
        <v>407</v>
      </c>
      <c r="B365" s="9" t="s">
        <v>29</v>
      </c>
      <c r="C365" s="9" t="s">
        <v>29</v>
      </c>
      <c r="D365" s="10" t="s">
        <v>19</v>
      </c>
      <c r="E365" s="10">
        <v>524.01</v>
      </c>
      <c r="F365" s="5" t="str">
        <f>IF(Dmart_sales_data[[#This Row],[sales]]&gt;3000,"High Sales",IF(Dmart_sales_data[[#This Row],[sales]]&gt;1000,"Medium Sales","Low Sales"))</f>
        <v>Low Sales</v>
      </c>
      <c r="G365" s="10">
        <v>7.0000000000000007E-2</v>
      </c>
      <c r="H365" s="10">
        <v>2</v>
      </c>
      <c r="I365" s="11">
        <v>45585</v>
      </c>
      <c r="J365" s="11">
        <v>45586</v>
      </c>
      <c r="K365" s="10" t="s">
        <v>20</v>
      </c>
      <c r="L365" s="10" t="s">
        <v>20</v>
      </c>
      <c r="M365" s="10" t="s">
        <v>26</v>
      </c>
      <c r="N365" s="10">
        <v>156.33000000000001</v>
      </c>
      <c r="O365" s="27" t="s">
        <v>79</v>
      </c>
      <c r="P365" s="12" t="s">
        <v>22</v>
      </c>
      <c r="Q365" s="55" t="str">
        <f>IF(AND(Dmart_sales_data[[#This Row],[customer_type2]]="Member",OR(Dmart_sales_data[[#This Row],[payment_mode]]="UPI",Dmart_sales_data[[#This Row],[payment_mode]]="Card")),"yes","No")</f>
        <v>No</v>
      </c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</row>
    <row r="366" spans="1:28" ht="14.25" customHeight="1" x14ac:dyDescent="0.3">
      <c r="A366" s="13" t="s">
        <v>408</v>
      </c>
      <c r="B366" s="14" t="s">
        <v>13</v>
      </c>
      <c r="C366" s="4" t="s">
        <v>13</v>
      </c>
      <c r="D366" s="15" t="s">
        <v>14</v>
      </c>
      <c r="E366" s="15">
        <v>1197.3499999999999</v>
      </c>
      <c r="F366" s="5" t="str">
        <f>IF(Dmart_sales_data[[#This Row],[sales]]&gt;3000,"High Sales",IF(Dmart_sales_data[[#This Row],[sales]]&gt;1000,"Medium Sales","Low Sales"))</f>
        <v>Medium Sales</v>
      </c>
      <c r="G366" s="15">
        <v>0.12</v>
      </c>
      <c r="H366" s="15">
        <v>4</v>
      </c>
      <c r="I366" s="16">
        <v>44947</v>
      </c>
      <c r="J366" s="16">
        <v>44953</v>
      </c>
      <c r="K366" s="15" t="s">
        <v>20</v>
      </c>
      <c r="L366" s="15" t="s">
        <v>20</v>
      </c>
      <c r="M366" s="15" t="s">
        <v>21</v>
      </c>
      <c r="N366" s="15">
        <v>298.56</v>
      </c>
      <c r="O366" s="27" t="s">
        <v>27</v>
      </c>
      <c r="P366" s="17" t="s">
        <v>27</v>
      </c>
      <c r="Q366" s="55" t="str">
        <f>IF(AND(Dmart_sales_data[[#This Row],[customer_type2]]="Member",OR(Dmart_sales_data[[#This Row],[payment_mode]]="UPI",Dmart_sales_data[[#This Row],[payment_mode]]="Card")),"yes","No")</f>
        <v>No</v>
      </c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</row>
    <row r="367" spans="1:28" ht="14.25" customHeight="1" x14ac:dyDescent="0.3">
      <c r="A367" s="8" t="s">
        <v>409</v>
      </c>
      <c r="B367" s="9" t="s">
        <v>576</v>
      </c>
      <c r="C367" s="9" t="s">
        <v>576</v>
      </c>
      <c r="D367" s="10" t="s">
        <v>19</v>
      </c>
      <c r="E367" s="10">
        <v>3868.91</v>
      </c>
      <c r="F367" s="5" t="str">
        <f>IF(Dmart_sales_data[[#This Row],[sales]]&gt;3000,"High Sales",IF(Dmart_sales_data[[#This Row],[sales]]&gt;1000,"Medium Sales","Low Sales"))</f>
        <v>High Sales</v>
      </c>
      <c r="G367" s="10">
        <v>0.46</v>
      </c>
      <c r="H367" s="10">
        <v>3</v>
      </c>
      <c r="I367" s="11">
        <v>45202</v>
      </c>
      <c r="J367" s="11">
        <v>45206</v>
      </c>
      <c r="K367" s="10" t="s">
        <v>32</v>
      </c>
      <c r="L367" s="10" t="s">
        <v>32</v>
      </c>
      <c r="M367" s="10" t="s">
        <v>16</v>
      </c>
      <c r="N367" s="10">
        <v>482.97</v>
      </c>
      <c r="O367" s="27" t="s">
        <v>17</v>
      </c>
      <c r="P367" s="12" t="s">
        <v>95</v>
      </c>
      <c r="Q367" s="55" t="str">
        <f>IF(AND(Dmart_sales_data[[#This Row],[customer_type2]]="Member",OR(Dmart_sales_data[[#This Row],[payment_mode]]="UPI",Dmart_sales_data[[#This Row],[payment_mode]]="Card")),"yes","No")</f>
        <v>No</v>
      </c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</row>
    <row r="368" spans="1:28" ht="14.25" customHeight="1" x14ac:dyDescent="0.3">
      <c r="A368" s="13" t="s">
        <v>410</v>
      </c>
      <c r="B368" s="14" t="s">
        <v>24</v>
      </c>
      <c r="C368" s="14" t="s">
        <v>24</v>
      </c>
      <c r="D368" s="15" t="s">
        <v>37</v>
      </c>
      <c r="E368" s="15">
        <v>2480.9</v>
      </c>
      <c r="F368" s="5" t="str">
        <f>IF(Dmart_sales_data[[#This Row],[sales]]&gt;3000,"High Sales",IF(Dmart_sales_data[[#This Row],[sales]]&gt;1000,"Medium Sales","Low Sales"))</f>
        <v>Medium Sales</v>
      </c>
      <c r="G368" s="15">
        <v>0.4</v>
      </c>
      <c r="H368" s="15">
        <v>4</v>
      </c>
      <c r="I368" s="16">
        <v>45405</v>
      </c>
      <c r="J368" s="16">
        <v>45407</v>
      </c>
      <c r="K368" s="15" t="s">
        <v>15</v>
      </c>
      <c r="L368" s="15" t="s">
        <v>15</v>
      </c>
      <c r="M368" s="15" t="s">
        <v>16</v>
      </c>
      <c r="N368" s="15">
        <v>610.64</v>
      </c>
      <c r="O368" s="27" t="s">
        <v>35</v>
      </c>
      <c r="P368" s="17" t="s">
        <v>58</v>
      </c>
      <c r="Q368" s="55" t="str">
        <f>IF(AND(Dmart_sales_data[[#This Row],[customer_type2]]="Member",OR(Dmart_sales_data[[#This Row],[payment_mode]]="UPI",Dmart_sales_data[[#This Row],[payment_mode]]="Card")),"yes","No")</f>
        <v>yes</v>
      </c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</row>
    <row r="369" spans="1:28" ht="14.25" customHeight="1" x14ac:dyDescent="0.3">
      <c r="A369" s="8" t="s">
        <v>411</v>
      </c>
      <c r="B369" s="9" t="s">
        <v>29</v>
      </c>
      <c r="C369" s="9" t="s">
        <v>29</v>
      </c>
      <c r="D369" s="10" t="s">
        <v>14</v>
      </c>
      <c r="E369" s="10">
        <v>3823.84</v>
      </c>
      <c r="F369" s="5" t="str">
        <f>IF(Dmart_sales_data[[#This Row],[sales]]&gt;3000,"High Sales",IF(Dmart_sales_data[[#This Row],[sales]]&gt;1000,"Medium Sales","Low Sales"))</f>
        <v>High Sales</v>
      </c>
      <c r="G369" s="10">
        <v>7.0000000000000007E-2</v>
      </c>
      <c r="H369" s="10">
        <v>4</v>
      </c>
      <c r="I369" s="11">
        <v>45273</v>
      </c>
      <c r="J369" s="11">
        <v>45276</v>
      </c>
      <c r="K369" s="10" t="s">
        <v>20</v>
      </c>
      <c r="L369" s="10" t="s">
        <v>20</v>
      </c>
      <c r="M369" s="10" t="s">
        <v>16</v>
      </c>
      <c r="N369" s="10">
        <v>664.27</v>
      </c>
      <c r="O369" s="27" t="s">
        <v>100</v>
      </c>
      <c r="P369" s="12" t="s">
        <v>63</v>
      </c>
      <c r="Q369" s="55" t="str">
        <f>IF(AND(Dmart_sales_data[[#This Row],[customer_type2]]="Member",OR(Dmart_sales_data[[#This Row],[payment_mode]]="UPI",Dmart_sales_data[[#This Row],[payment_mode]]="Card")),"yes","No")</f>
        <v>No</v>
      </c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</row>
    <row r="370" spans="1:28" ht="14.25" customHeight="1" x14ac:dyDescent="0.3">
      <c r="A370" s="13" t="s">
        <v>412</v>
      </c>
      <c r="B370" s="14" t="s">
        <v>13</v>
      </c>
      <c r="C370" s="4" t="s">
        <v>13</v>
      </c>
      <c r="D370" s="15" t="s">
        <v>14</v>
      </c>
      <c r="E370" s="15">
        <v>1134.3499999999999</v>
      </c>
      <c r="F370" s="5" t="str">
        <f>IF(Dmart_sales_data[[#This Row],[sales]]&gt;3000,"High Sales",IF(Dmart_sales_data[[#This Row],[sales]]&gt;1000,"Medium Sales","Low Sales"))</f>
        <v>Medium Sales</v>
      </c>
      <c r="G370" s="15">
        <v>0.02</v>
      </c>
      <c r="H370" s="15">
        <v>8</v>
      </c>
      <c r="I370" s="16">
        <v>45098</v>
      </c>
      <c r="J370" s="16">
        <v>45103</v>
      </c>
      <c r="K370" s="15" t="s">
        <v>20</v>
      </c>
      <c r="L370" s="15" t="s">
        <v>20</v>
      </c>
      <c r="M370" s="15" t="s">
        <v>16</v>
      </c>
      <c r="N370" s="15">
        <v>278.14999999999998</v>
      </c>
      <c r="O370" s="27" t="s">
        <v>79</v>
      </c>
      <c r="P370" s="17" t="s">
        <v>55</v>
      </c>
      <c r="Q370" s="55" t="str">
        <f>IF(AND(Dmart_sales_data[[#This Row],[customer_type2]]="Member",OR(Dmart_sales_data[[#This Row],[payment_mode]]="UPI",Dmart_sales_data[[#This Row],[payment_mode]]="Card")),"yes","No")</f>
        <v>No</v>
      </c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</row>
    <row r="371" spans="1:28" ht="14.25" customHeight="1" x14ac:dyDescent="0.3">
      <c r="A371" s="8" t="s">
        <v>413</v>
      </c>
      <c r="B371" s="9" t="s">
        <v>576</v>
      </c>
      <c r="C371" s="9" t="s">
        <v>576</v>
      </c>
      <c r="D371" s="10" t="s">
        <v>37</v>
      </c>
      <c r="E371" s="10">
        <v>4768.22</v>
      </c>
      <c r="F371" s="5" t="str">
        <f>IF(Dmart_sales_data[[#This Row],[sales]]&gt;3000,"High Sales",IF(Dmart_sales_data[[#This Row],[sales]]&gt;1000,"Medium Sales","Low Sales"))</f>
        <v>High Sales</v>
      </c>
      <c r="G371" s="10">
        <v>0.05</v>
      </c>
      <c r="H371" s="10">
        <v>3</v>
      </c>
      <c r="I371" s="11">
        <v>45469</v>
      </c>
      <c r="J371" s="11">
        <v>45475</v>
      </c>
      <c r="K371" s="10" t="s">
        <v>15</v>
      </c>
      <c r="L371" s="10" t="s">
        <v>15</v>
      </c>
      <c r="M371" s="10" t="s">
        <v>26</v>
      </c>
      <c r="N371" s="10">
        <v>354.91</v>
      </c>
      <c r="O371" s="27" t="s">
        <v>100</v>
      </c>
      <c r="P371" s="12" t="s">
        <v>65</v>
      </c>
      <c r="Q371" s="55" t="str">
        <f>IF(AND(Dmart_sales_data[[#This Row],[customer_type2]]="Member",OR(Dmart_sales_data[[#This Row],[payment_mode]]="UPI",Dmart_sales_data[[#This Row],[payment_mode]]="Card")),"yes","No")</f>
        <v>No</v>
      </c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</row>
    <row r="372" spans="1:28" ht="14.25" customHeight="1" x14ac:dyDescent="0.3">
      <c r="A372" s="13" t="s">
        <v>414</v>
      </c>
      <c r="B372" s="14" t="s">
        <v>24</v>
      </c>
      <c r="C372" s="14" t="s">
        <v>24</v>
      </c>
      <c r="D372" s="15" t="s">
        <v>14</v>
      </c>
      <c r="E372" s="15">
        <v>3939.68</v>
      </c>
      <c r="F372" s="5" t="str">
        <f>IF(Dmart_sales_data[[#This Row],[sales]]&gt;3000,"High Sales",IF(Dmart_sales_data[[#This Row],[sales]]&gt;1000,"Medium Sales","Low Sales"))</f>
        <v>High Sales</v>
      </c>
      <c r="G372" s="15">
        <v>0.15</v>
      </c>
      <c r="H372" s="15">
        <v>3</v>
      </c>
      <c r="I372" s="16">
        <v>44935</v>
      </c>
      <c r="J372" s="16">
        <v>44942</v>
      </c>
      <c r="K372" s="15" t="s">
        <v>15</v>
      </c>
      <c r="L372" s="15" t="s">
        <v>15</v>
      </c>
      <c r="M372" s="15" t="s">
        <v>16</v>
      </c>
      <c r="N372" s="15">
        <v>1039.42</v>
      </c>
      <c r="O372" s="27" t="s">
        <v>41</v>
      </c>
      <c r="P372" s="17" t="s">
        <v>68</v>
      </c>
      <c r="Q372" s="55" t="str">
        <f>IF(AND(Dmart_sales_data[[#This Row],[customer_type2]]="Member",OR(Dmart_sales_data[[#This Row],[payment_mode]]="UPI",Dmart_sales_data[[#This Row],[payment_mode]]="Card")),"yes","No")</f>
        <v>yes</v>
      </c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</row>
    <row r="373" spans="1:28" ht="14.25" customHeight="1" x14ac:dyDescent="0.3">
      <c r="A373" s="8" t="s">
        <v>415</v>
      </c>
      <c r="B373" s="9" t="s">
        <v>29</v>
      </c>
      <c r="C373" s="9" t="s">
        <v>29</v>
      </c>
      <c r="D373" s="10" t="s">
        <v>14</v>
      </c>
      <c r="E373" s="10">
        <v>1067.52</v>
      </c>
      <c r="F373" s="5" t="str">
        <f>IF(Dmart_sales_data[[#This Row],[sales]]&gt;3000,"High Sales",IF(Dmart_sales_data[[#This Row],[sales]]&gt;1000,"Medium Sales","Low Sales"))</f>
        <v>Medium Sales</v>
      </c>
      <c r="G373" s="10">
        <v>0.41</v>
      </c>
      <c r="H373" s="10">
        <v>6</v>
      </c>
      <c r="I373" s="11">
        <v>45470</v>
      </c>
      <c r="J373" s="11">
        <v>45475</v>
      </c>
      <c r="K373" s="10" t="s">
        <v>32</v>
      </c>
      <c r="L373" s="10" t="s">
        <v>32</v>
      </c>
      <c r="M373" s="10" t="s">
        <v>21</v>
      </c>
      <c r="N373" s="10">
        <v>318.77</v>
      </c>
      <c r="O373" s="27" t="s">
        <v>41</v>
      </c>
      <c r="P373" s="12" t="s">
        <v>41</v>
      </c>
      <c r="Q373" s="55" t="str">
        <f>IF(AND(Dmart_sales_data[[#This Row],[customer_type2]]="Member",OR(Dmart_sales_data[[#This Row],[payment_mode]]="UPI",Dmart_sales_data[[#This Row],[payment_mode]]="Card")),"yes","No")</f>
        <v>No</v>
      </c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</row>
    <row r="374" spans="1:28" ht="14.25" customHeight="1" x14ac:dyDescent="0.3">
      <c r="A374" s="13" t="s">
        <v>416</v>
      </c>
      <c r="B374" s="14" t="s">
        <v>13</v>
      </c>
      <c r="C374" s="4" t="s">
        <v>13</v>
      </c>
      <c r="D374" s="15" t="s">
        <v>19</v>
      </c>
      <c r="E374" s="15">
        <v>2836.4</v>
      </c>
      <c r="F374" s="5" t="str">
        <f>IF(Dmart_sales_data[[#This Row],[sales]]&gt;3000,"High Sales",IF(Dmart_sales_data[[#This Row],[sales]]&gt;1000,"Medium Sales","Low Sales"))</f>
        <v>Medium Sales</v>
      </c>
      <c r="G374" s="15">
        <v>0.16</v>
      </c>
      <c r="H374" s="15">
        <v>3</v>
      </c>
      <c r="I374" s="16">
        <v>45128</v>
      </c>
      <c r="J374" s="16">
        <v>45132</v>
      </c>
      <c r="K374" s="15" t="s">
        <v>32</v>
      </c>
      <c r="L374" s="15" t="s">
        <v>32</v>
      </c>
      <c r="M374" s="15" t="s">
        <v>26</v>
      </c>
      <c r="N374" s="15">
        <v>455.08</v>
      </c>
      <c r="O374" s="27" t="s">
        <v>17</v>
      </c>
      <c r="P374" s="17" t="s">
        <v>17</v>
      </c>
      <c r="Q374" s="55" t="str">
        <f>IF(AND(Dmart_sales_data[[#This Row],[customer_type2]]="Member",OR(Dmart_sales_data[[#This Row],[payment_mode]]="UPI",Dmart_sales_data[[#This Row],[payment_mode]]="Card")),"yes","No")</f>
        <v>No</v>
      </c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</row>
    <row r="375" spans="1:28" ht="14.25" customHeight="1" x14ac:dyDescent="0.3">
      <c r="A375" s="8" t="s">
        <v>417</v>
      </c>
      <c r="B375" s="9" t="s">
        <v>576</v>
      </c>
      <c r="C375" s="9" t="s">
        <v>576</v>
      </c>
      <c r="D375" s="10" t="s">
        <v>14</v>
      </c>
      <c r="E375" s="10">
        <v>654.17999999999995</v>
      </c>
      <c r="F375" s="5" t="str">
        <f>IF(Dmart_sales_data[[#This Row],[sales]]&gt;3000,"High Sales",IF(Dmart_sales_data[[#This Row],[sales]]&gt;1000,"Medium Sales","Low Sales"))</f>
        <v>Low Sales</v>
      </c>
      <c r="G375" s="10">
        <v>0.09</v>
      </c>
      <c r="H375" s="10">
        <v>5</v>
      </c>
      <c r="I375" s="11">
        <v>45106</v>
      </c>
      <c r="J375" s="11">
        <v>45109</v>
      </c>
      <c r="K375" s="10" t="s">
        <v>32</v>
      </c>
      <c r="L375" s="10" t="s">
        <v>32</v>
      </c>
      <c r="M375" s="10" t="s">
        <v>16</v>
      </c>
      <c r="N375" s="10">
        <v>116.53</v>
      </c>
      <c r="O375" s="27" t="s">
        <v>35</v>
      </c>
      <c r="P375" s="12" t="s">
        <v>35</v>
      </c>
      <c r="Q375" s="55" t="str">
        <f>IF(AND(Dmart_sales_data[[#This Row],[customer_type2]]="Member",OR(Dmart_sales_data[[#This Row],[payment_mode]]="UPI",Dmart_sales_data[[#This Row],[payment_mode]]="Card")),"yes","No")</f>
        <v>No</v>
      </c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</row>
    <row r="376" spans="1:28" ht="14.25" customHeight="1" x14ac:dyDescent="0.3">
      <c r="A376" s="13" t="s">
        <v>418</v>
      </c>
      <c r="B376" s="14" t="s">
        <v>24</v>
      </c>
      <c r="C376" s="14" t="s">
        <v>24</v>
      </c>
      <c r="D376" s="15" t="s">
        <v>37</v>
      </c>
      <c r="E376" s="15">
        <v>1871.03</v>
      </c>
      <c r="F376" s="5" t="str">
        <f>IF(Dmart_sales_data[[#This Row],[sales]]&gt;3000,"High Sales",IF(Dmart_sales_data[[#This Row],[sales]]&gt;1000,"Medium Sales","Low Sales"))</f>
        <v>Medium Sales</v>
      </c>
      <c r="G376" s="15">
        <v>0.2</v>
      </c>
      <c r="H376" s="15">
        <v>4</v>
      </c>
      <c r="I376" s="16">
        <v>45635</v>
      </c>
      <c r="J376" s="16">
        <v>45638</v>
      </c>
      <c r="K376" s="15" t="s">
        <v>15</v>
      </c>
      <c r="L376" s="15" t="s">
        <v>15</v>
      </c>
      <c r="M376" s="15" t="s">
        <v>26</v>
      </c>
      <c r="N376" s="15">
        <v>181.06</v>
      </c>
      <c r="O376" s="27" t="s">
        <v>100</v>
      </c>
      <c r="P376" s="17" t="s">
        <v>100</v>
      </c>
      <c r="Q376" s="55" t="str">
        <f>IF(AND(Dmart_sales_data[[#This Row],[customer_type2]]="Member",OR(Dmart_sales_data[[#This Row],[payment_mode]]="UPI",Dmart_sales_data[[#This Row],[payment_mode]]="Card")),"yes","No")</f>
        <v>No</v>
      </c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</row>
    <row r="377" spans="1:28" ht="14.25" customHeight="1" x14ac:dyDescent="0.3">
      <c r="A377" s="8" t="s">
        <v>419</v>
      </c>
      <c r="B377" s="9" t="s">
        <v>29</v>
      </c>
      <c r="C377" s="9" t="s">
        <v>29</v>
      </c>
      <c r="D377" s="10" t="s">
        <v>34</v>
      </c>
      <c r="E377" s="10">
        <v>3332.14</v>
      </c>
      <c r="F377" s="5" t="str">
        <f>IF(Dmart_sales_data[[#This Row],[sales]]&gt;3000,"High Sales",IF(Dmart_sales_data[[#This Row],[sales]]&gt;1000,"Medium Sales","Low Sales"))</f>
        <v>High Sales</v>
      </c>
      <c r="G377" s="10">
        <v>0.06</v>
      </c>
      <c r="H377" s="10">
        <v>4</v>
      </c>
      <c r="I377" s="11">
        <v>45643</v>
      </c>
      <c r="J377" s="11">
        <v>45644</v>
      </c>
      <c r="K377" s="10" t="s">
        <v>20</v>
      </c>
      <c r="L377" s="10" t="s">
        <v>20</v>
      </c>
      <c r="M377" s="10" t="s">
        <v>26</v>
      </c>
      <c r="N377" s="10">
        <v>736.04</v>
      </c>
      <c r="O377" s="27" t="s">
        <v>100</v>
      </c>
      <c r="P377" s="12" t="s">
        <v>65</v>
      </c>
      <c r="Q377" s="55" t="str">
        <f>IF(AND(Dmart_sales_data[[#This Row],[customer_type2]]="Member",OR(Dmart_sales_data[[#This Row],[payment_mode]]="UPI",Dmart_sales_data[[#This Row],[payment_mode]]="Card")),"yes","No")</f>
        <v>No</v>
      </c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</row>
    <row r="378" spans="1:28" ht="14.25" customHeight="1" x14ac:dyDescent="0.3">
      <c r="A378" s="13" t="s">
        <v>420</v>
      </c>
      <c r="B378" s="14" t="s">
        <v>13</v>
      </c>
      <c r="C378" s="4" t="s">
        <v>13</v>
      </c>
      <c r="D378" s="15" t="s">
        <v>34</v>
      </c>
      <c r="E378" s="15">
        <v>1717.63</v>
      </c>
      <c r="F378" s="5" t="str">
        <f>IF(Dmart_sales_data[[#This Row],[sales]]&gt;3000,"High Sales",IF(Dmart_sales_data[[#This Row],[sales]]&gt;1000,"Medium Sales","Low Sales"))</f>
        <v>Medium Sales</v>
      </c>
      <c r="G378" s="15">
        <v>0.24</v>
      </c>
      <c r="H378" s="15">
        <v>2</v>
      </c>
      <c r="I378" s="16">
        <v>45465</v>
      </c>
      <c r="J378" s="16">
        <v>45469</v>
      </c>
      <c r="K378" s="15" t="s">
        <v>15</v>
      </c>
      <c r="L378" s="15" t="s">
        <v>15</v>
      </c>
      <c r="M378" s="15" t="s">
        <v>16</v>
      </c>
      <c r="N378" s="15">
        <v>119.18</v>
      </c>
      <c r="O378" s="27" t="s">
        <v>41</v>
      </c>
      <c r="P378" s="17" t="s">
        <v>41</v>
      </c>
      <c r="Q378" s="55" t="str">
        <f>IF(AND(Dmart_sales_data[[#This Row],[customer_type2]]="Member",OR(Dmart_sales_data[[#This Row],[payment_mode]]="UPI",Dmart_sales_data[[#This Row],[payment_mode]]="Card")),"yes","No")</f>
        <v>yes</v>
      </c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</row>
    <row r="379" spans="1:28" ht="14.25" customHeight="1" x14ac:dyDescent="0.3">
      <c r="A379" s="8" t="s">
        <v>421</v>
      </c>
      <c r="B379" s="9" t="s">
        <v>576</v>
      </c>
      <c r="C379" s="9" t="s">
        <v>576</v>
      </c>
      <c r="D379" s="10" t="s">
        <v>34</v>
      </c>
      <c r="E379" s="10">
        <v>3318.12</v>
      </c>
      <c r="F379" s="5" t="str">
        <f>IF(Dmart_sales_data[[#This Row],[sales]]&gt;3000,"High Sales",IF(Dmart_sales_data[[#This Row],[sales]]&gt;1000,"Medium Sales","Low Sales"))</f>
        <v>High Sales</v>
      </c>
      <c r="G379" s="10">
        <v>0.34</v>
      </c>
      <c r="H379" s="10">
        <v>9</v>
      </c>
      <c r="I379" s="11">
        <v>45440</v>
      </c>
      <c r="J379" s="11">
        <v>45446</v>
      </c>
      <c r="K379" s="10" t="s">
        <v>20</v>
      </c>
      <c r="L379" s="10" t="s">
        <v>20</v>
      </c>
      <c r="M379" s="10" t="s">
        <v>21</v>
      </c>
      <c r="N379" s="10">
        <v>635.94000000000005</v>
      </c>
      <c r="O379" s="27" t="s">
        <v>27</v>
      </c>
      <c r="P379" s="12" t="s">
        <v>48</v>
      </c>
      <c r="Q379" s="55" t="str">
        <f>IF(AND(Dmart_sales_data[[#This Row],[customer_type2]]="Member",OR(Dmart_sales_data[[#This Row],[payment_mode]]="UPI",Dmart_sales_data[[#This Row],[payment_mode]]="Card")),"yes","No")</f>
        <v>No</v>
      </c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</row>
    <row r="380" spans="1:28" ht="14.25" customHeight="1" x14ac:dyDescent="0.3">
      <c r="A380" s="13" t="s">
        <v>422</v>
      </c>
      <c r="B380" s="14" t="s">
        <v>24</v>
      </c>
      <c r="C380" s="14" t="s">
        <v>24</v>
      </c>
      <c r="D380" s="15" t="s">
        <v>37</v>
      </c>
      <c r="E380" s="15">
        <v>1299.42</v>
      </c>
      <c r="F380" s="5" t="str">
        <f>IF(Dmart_sales_data[[#This Row],[sales]]&gt;3000,"High Sales",IF(Dmart_sales_data[[#This Row],[sales]]&gt;1000,"Medium Sales","Low Sales"))</f>
        <v>Medium Sales</v>
      </c>
      <c r="G380" s="15">
        <v>0.18</v>
      </c>
      <c r="H380" s="15">
        <v>5</v>
      </c>
      <c r="I380" s="16">
        <v>45309</v>
      </c>
      <c r="J380" s="16">
        <v>45316</v>
      </c>
      <c r="K380" s="15" t="s">
        <v>15</v>
      </c>
      <c r="L380" s="15" t="s">
        <v>15</v>
      </c>
      <c r="M380" s="15" t="s">
        <v>16</v>
      </c>
      <c r="N380" s="15">
        <v>200.91</v>
      </c>
      <c r="O380" s="27" t="s">
        <v>100</v>
      </c>
      <c r="P380" s="17" t="s">
        <v>65</v>
      </c>
      <c r="Q380" s="55" t="str">
        <f>IF(AND(Dmart_sales_data[[#This Row],[customer_type2]]="Member",OR(Dmart_sales_data[[#This Row],[payment_mode]]="UPI",Dmart_sales_data[[#This Row],[payment_mode]]="Card")),"yes","No")</f>
        <v>yes</v>
      </c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</row>
    <row r="381" spans="1:28" ht="14.25" customHeight="1" x14ac:dyDescent="0.3">
      <c r="A381" s="8" t="s">
        <v>423</v>
      </c>
      <c r="B381" s="9" t="s">
        <v>29</v>
      </c>
      <c r="C381" s="9" t="s">
        <v>29</v>
      </c>
      <c r="D381" s="10" t="s">
        <v>34</v>
      </c>
      <c r="E381" s="10">
        <v>3633.91</v>
      </c>
      <c r="F381" s="5" t="str">
        <f>IF(Dmart_sales_data[[#This Row],[sales]]&gt;3000,"High Sales",IF(Dmart_sales_data[[#This Row],[sales]]&gt;1000,"Medium Sales","Low Sales"))</f>
        <v>High Sales</v>
      </c>
      <c r="G381" s="10">
        <v>0.09</v>
      </c>
      <c r="H381" s="10">
        <v>5</v>
      </c>
      <c r="I381" s="11">
        <v>45320</v>
      </c>
      <c r="J381" s="11">
        <v>45325</v>
      </c>
      <c r="K381" s="10" t="s">
        <v>15</v>
      </c>
      <c r="L381" s="10" t="s">
        <v>15</v>
      </c>
      <c r="M381" s="10" t="s">
        <v>16</v>
      </c>
      <c r="N381" s="10">
        <v>363.37</v>
      </c>
      <c r="O381" s="27" t="s">
        <v>100</v>
      </c>
      <c r="P381" s="12" t="s">
        <v>65</v>
      </c>
      <c r="Q381" s="55" t="str">
        <f>IF(AND(Dmart_sales_data[[#This Row],[customer_type2]]="Member",OR(Dmart_sales_data[[#This Row],[payment_mode]]="UPI",Dmart_sales_data[[#This Row],[payment_mode]]="Card")),"yes","No")</f>
        <v>yes</v>
      </c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</row>
    <row r="382" spans="1:28" ht="14.25" customHeight="1" x14ac:dyDescent="0.3">
      <c r="A382" s="13" t="s">
        <v>424</v>
      </c>
      <c r="B382" s="14" t="s">
        <v>13</v>
      </c>
      <c r="C382" s="4" t="s">
        <v>13</v>
      </c>
      <c r="D382" s="15" t="s">
        <v>19</v>
      </c>
      <c r="E382" s="15">
        <v>1861.99</v>
      </c>
      <c r="F382" s="5" t="str">
        <f>IF(Dmart_sales_data[[#This Row],[sales]]&gt;3000,"High Sales",IF(Dmart_sales_data[[#This Row],[sales]]&gt;1000,"Medium Sales","Low Sales"))</f>
        <v>Medium Sales</v>
      </c>
      <c r="G382" s="15">
        <v>0.23</v>
      </c>
      <c r="H382" s="15">
        <v>7</v>
      </c>
      <c r="I382" s="16">
        <v>45507</v>
      </c>
      <c r="J382" s="16">
        <v>45508</v>
      </c>
      <c r="K382" s="15" t="s">
        <v>15</v>
      </c>
      <c r="L382" s="15" t="s">
        <v>15</v>
      </c>
      <c r="M382" s="15" t="s">
        <v>21</v>
      </c>
      <c r="N382" s="15">
        <v>477.12</v>
      </c>
      <c r="O382" s="27" t="s">
        <v>35</v>
      </c>
      <c r="P382" s="17" t="s">
        <v>35</v>
      </c>
      <c r="Q382" s="55" t="str">
        <f>IF(AND(Dmart_sales_data[[#This Row],[customer_type2]]="Member",OR(Dmart_sales_data[[#This Row],[payment_mode]]="UPI",Dmart_sales_data[[#This Row],[payment_mode]]="Card")),"yes","No")</f>
        <v>yes</v>
      </c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</row>
    <row r="383" spans="1:28" ht="14.25" customHeight="1" x14ac:dyDescent="0.3">
      <c r="A383" s="8" t="s">
        <v>425</v>
      </c>
      <c r="B383" s="9" t="s">
        <v>576</v>
      </c>
      <c r="C383" s="9" t="s">
        <v>576</v>
      </c>
      <c r="D383" s="10" t="s">
        <v>37</v>
      </c>
      <c r="E383" s="10">
        <v>3973.36</v>
      </c>
      <c r="F383" s="5" t="str">
        <f>IF(Dmart_sales_data[[#This Row],[sales]]&gt;3000,"High Sales",IF(Dmart_sales_data[[#This Row],[sales]]&gt;1000,"Medium Sales","Low Sales"))</f>
        <v>High Sales</v>
      </c>
      <c r="G383" s="10">
        <v>0.38</v>
      </c>
      <c r="H383" s="10">
        <v>3</v>
      </c>
      <c r="I383" s="11">
        <v>45632</v>
      </c>
      <c r="J383" s="11">
        <v>45637</v>
      </c>
      <c r="K383" s="10" t="s">
        <v>15</v>
      </c>
      <c r="L383" s="10" t="s">
        <v>15</v>
      </c>
      <c r="M383" s="10" t="s">
        <v>16</v>
      </c>
      <c r="N383" s="10">
        <v>944.78</v>
      </c>
      <c r="O383" s="27" t="s">
        <v>79</v>
      </c>
      <c r="P383" s="12" t="s">
        <v>79</v>
      </c>
      <c r="Q383" s="55" t="str">
        <f>IF(AND(Dmart_sales_data[[#This Row],[customer_type2]]="Member",OR(Dmart_sales_data[[#This Row],[payment_mode]]="UPI",Dmart_sales_data[[#This Row],[payment_mode]]="Card")),"yes","No")</f>
        <v>yes</v>
      </c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</row>
    <row r="384" spans="1:28" ht="14.25" customHeight="1" x14ac:dyDescent="0.3">
      <c r="A384" s="13" t="s">
        <v>426</v>
      </c>
      <c r="B384" s="14" t="s">
        <v>24</v>
      </c>
      <c r="C384" s="14" t="s">
        <v>24</v>
      </c>
      <c r="D384" s="15" t="s">
        <v>37</v>
      </c>
      <c r="E384" s="15">
        <v>769.78</v>
      </c>
      <c r="F384" s="5" t="str">
        <f>IF(Dmart_sales_data[[#This Row],[sales]]&gt;3000,"High Sales",IF(Dmart_sales_data[[#This Row],[sales]]&gt;1000,"Medium Sales","Low Sales"))</f>
        <v>Low Sales</v>
      </c>
      <c r="G384" s="15">
        <v>0.04</v>
      </c>
      <c r="H384" s="15">
        <v>6</v>
      </c>
      <c r="I384" s="16">
        <v>45172</v>
      </c>
      <c r="J384" s="16">
        <v>45178</v>
      </c>
      <c r="K384" s="15" t="s">
        <v>20</v>
      </c>
      <c r="L384" s="15" t="s">
        <v>20</v>
      </c>
      <c r="M384" s="15" t="s">
        <v>21</v>
      </c>
      <c r="N384" s="15">
        <v>96.16</v>
      </c>
      <c r="O384" s="27" t="s">
        <v>27</v>
      </c>
      <c r="P384" s="17" t="s">
        <v>39</v>
      </c>
      <c r="Q384" s="55" t="str">
        <f>IF(AND(Dmart_sales_data[[#This Row],[customer_type2]]="Member",OR(Dmart_sales_data[[#This Row],[payment_mode]]="UPI",Dmart_sales_data[[#This Row],[payment_mode]]="Card")),"yes","No")</f>
        <v>No</v>
      </c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</row>
    <row r="385" spans="1:28" ht="14.25" customHeight="1" x14ac:dyDescent="0.3">
      <c r="A385" s="8" t="s">
        <v>427</v>
      </c>
      <c r="B385" s="9" t="s">
        <v>29</v>
      </c>
      <c r="C385" s="9" t="s">
        <v>29</v>
      </c>
      <c r="D385" s="10" t="s">
        <v>37</v>
      </c>
      <c r="E385" s="10">
        <v>1873.69</v>
      </c>
      <c r="F385" s="5" t="str">
        <f>IF(Dmart_sales_data[[#This Row],[sales]]&gt;3000,"High Sales",IF(Dmart_sales_data[[#This Row],[sales]]&gt;1000,"Medium Sales","Low Sales"))</f>
        <v>Medium Sales</v>
      </c>
      <c r="G385" s="10">
        <v>0.04</v>
      </c>
      <c r="H385" s="10">
        <v>1</v>
      </c>
      <c r="I385" s="11">
        <v>45351</v>
      </c>
      <c r="J385" s="11">
        <v>45352</v>
      </c>
      <c r="K385" s="10" t="s">
        <v>20</v>
      </c>
      <c r="L385" s="10" t="s">
        <v>20</v>
      </c>
      <c r="M385" s="10" t="s">
        <v>26</v>
      </c>
      <c r="N385" s="10">
        <v>274.62</v>
      </c>
      <c r="O385" s="27" t="s">
        <v>79</v>
      </c>
      <c r="P385" s="12" t="s">
        <v>55</v>
      </c>
      <c r="Q385" s="55" t="str">
        <f>IF(AND(Dmart_sales_data[[#This Row],[customer_type2]]="Member",OR(Dmart_sales_data[[#This Row],[payment_mode]]="UPI",Dmart_sales_data[[#This Row],[payment_mode]]="Card")),"yes","No")</f>
        <v>No</v>
      </c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</row>
    <row r="386" spans="1:28" ht="14.25" customHeight="1" x14ac:dyDescent="0.3">
      <c r="A386" s="13" t="s">
        <v>428</v>
      </c>
      <c r="B386" s="14" t="s">
        <v>13</v>
      </c>
      <c r="C386" s="4" t="s">
        <v>13</v>
      </c>
      <c r="D386" s="15" t="s">
        <v>14</v>
      </c>
      <c r="E386" s="15">
        <v>2373.27</v>
      </c>
      <c r="F386" s="5" t="str">
        <f>IF(Dmart_sales_data[[#This Row],[sales]]&gt;3000,"High Sales",IF(Dmart_sales_data[[#This Row],[sales]]&gt;1000,"Medium Sales","Low Sales"))</f>
        <v>Medium Sales</v>
      </c>
      <c r="G386" s="15">
        <v>0.16</v>
      </c>
      <c r="H386" s="15">
        <v>5</v>
      </c>
      <c r="I386" s="16">
        <v>45230</v>
      </c>
      <c r="J386" s="16">
        <v>45236</v>
      </c>
      <c r="K386" s="15" t="s">
        <v>20</v>
      </c>
      <c r="L386" s="15" t="s">
        <v>20</v>
      </c>
      <c r="M386" s="15" t="s">
        <v>21</v>
      </c>
      <c r="N386" s="15">
        <v>268.52999999999997</v>
      </c>
      <c r="O386" s="27" t="s">
        <v>17</v>
      </c>
      <c r="P386" s="17" t="s">
        <v>17</v>
      </c>
      <c r="Q386" s="55" t="str">
        <f>IF(AND(Dmart_sales_data[[#This Row],[customer_type2]]="Member",OR(Dmart_sales_data[[#This Row],[payment_mode]]="UPI",Dmart_sales_data[[#This Row],[payment_mode]]="Card")),"yes","No")</f>
        <v>No</v>
      </c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</row>
    <row r="387" spans="1:28" ht="14.25" customHeight="1" x14ac:dyDescent="0.3">
      <c r="A387" s="8" t="s">
        <v>429</v>
      </c>
      <c r="B387" s="9" t="s">
        <v>576</v>
      </c>
      <c r="C387" s="9" t="s">
        <v>576</v>
      </c>
      <c r="D387" s="10" t="s">
        <v>14</v>
      </c>
      <c r="E387" s="10">
        <v>2176.84</v>
      </c>
      <c r="F387" s="5" t="str">
        <f>IF(Dmart_sales_data[[#This Row],[sales]]&gt;3000,"High Sales",IF(Dmart_sales_data[[#This Row],[sales]]&gt;1000,"Medium Sales","Low Sales"))</f>
        <v>Medium Sales</v>
      </c>
      <c r="G387" s="10">
        <v>0.21</v>
      </c>
      <c r="H387" s="10">
        <v>5</v>
      </c>
      <c r="I387" s="11">
        <v>45042</v>
      </c>
      <c r="J387" s="11">
        <v>45046</v>
      </c>
      <c r="K387" s="10" t="s">
        <v>20</v>
      </c>
      <c r="L387" s="10" t="s">
        <v>20</v>
      </c>
      <c r="M387" s="10" t="s">
        <v>26</v>
      </c>
      <c r="N387" s="10">
        <v>223.02</v>
      </c>
      <c r="O387" s="27" t="s">
        <v>79</v>
      </c>
      <c r="P387" s="12" t="s">
        <v>79</v>
      </c>
      <c r="Q387" s="55" t="str">
        <f>IF(AND(Dmart_sales_data[[#This Row],[customer_type2]]="Member",OR(Dmart_sales_data[[#This Row],[payment_mode]]="UPI",Dmart_sales_data[[#This Row],[payment_mode]]="Card")),"yes","No")</f>
        <v>No</v>
      </c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</row>
    <row r="388" spans="1:28" ht="14.25" customHeight="1" x14ac:dyDescent="0.3">
      <c r="A388" s="13" t="s">
        <v>430</v>
      </c>
      <c r="B388" s="14" t="s">
        <v>24</v>
      </c>
      <c r="C388" s="14" t="s">
        <v>24</v>
      </c>
      <c r="D388" s="15" t="s">
        <v>14</v>
      </c>
      <c r="E388" s="15">
        <v>2222.16</v>
      </c>
      <c r="F388" s="5" t="str">
        <f>IF(Dmart_sales_data[[#This Row],[sales]]&gt;3000,"High Sales",IF(Dmart_sales_data[[#This Row],[sales]]&gt;1000,"Medium Sales","Low Sales"))</f>
        <v>Medium Sales</v>
      </c>
      <c r="G388" s="15">
        <v>0.11</v>
      </c>
      <c r="H388" s="15">
        <v>9</v>
      </c>
      <c r="I388" s="16">
        <v>45043</v>
      </c>
      <c r="J388" s="16">
        <v>45049</v>
      </c>
      <c r="K388" s="15" t="s">
        <v>32</v>
      </c>
      <c r="L388" s="15" t="s">
        <v>32</v>
      </c>
      <c r="M388" s="15" t="s">
        <v>21</v>
      </c>
      <c r="N388" s="15">
        <v>234.09</v>
      </c>
      <c r="O388" s="27" t="s">
        <v>17</v>
      </c>
      <c r="P388" s="17" t="s">
        <v>17</v>
      </c>
      <c r="Q388" s="55" t="str">
        <f>IF(AND(Dmart_sales_data[[#This Row],[customer_type2]]="Member",OR(Dmart_sales_data[[#This Row],[payment_mode]]="UPI",Dmart_sales_data[[#This Row],[payment_mode]]="Card")),"yes","No")</f>
        <v>No</v>
      </c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</row>
    <row r="389" spans="1:28" ht="14.25" customHeight="1" x14ac:dyDescent="0.3">
      <c r="A389" s="8" t="s">
        <v>431</v>
      </c>
      <c r="B389" s="9" t="s">
        <v>29</v>
      </c>
      <c r="C389" s="9" t="s">
        <v>29</v>
      </c>
      <c r="D389" s="10" t="s">
        <v>25</v>
      </c>
      <c r="E389" s="10">
        <v>2279.54</v>
      </c>
      <c r="F389" s="5" t="str">
        <f>IF(Dmart_sales_data[[#This Row],[sales]]&gt;3000,"High Sales",IF(Dmart_sales_data[[#This Row],[sales]]&gt;1000,"Medium Sales","Low Sales"))</f>
        <v>Medium Sales</v>
      </c>
      <c r="G389" s="10">
        <v>0.01</v>
      </c>
      <c r="H389" s="10">
        <v>5</v>
      </c>
      <c r="I389" s="11">
        <v>45358</v>
      </c>
      <c r="J389" s="11">
        <v>45359</v>
      </c>
      <c r="K389" s="10" t="s">
        <v>32</v>
      </c>
      <c r="L389" s="10" t="s">
        <v>32</v>
      </c>
      <c r="M389" s="10" t="s">
        <v>26</v>
      </c>
      <c r="N389" s="10">
        <v>190.23</v>
      </c>
      <c r="O389" s="27" t="s">
        <v>35</v>
      </c>
      <c r="P389" s="12" t="s">
        <v>30</v>
      </c>
      <c r="Q389" s="55" t="str">
        <f>IF(AND(Dmart_sales_data[[#This Row],[customer_type2]]="Member",OR(Dmart_sales_data[[#This Row],[payment_mode]]="UPI",Dmart_sales_data[[#This Row],[payment_mode]]="Card")),"yes","No")</f>
        <v>No</v>
      </c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</row>
    <row r="390" spans="1:28" ht="14.25" customHeight="1" x14ac:dyDescent="0.3">
      <c r="A390" s="13" t="s">
        <v>432</v>
      </c>
      <c r="B390" s="14" t="s">
        <v>13</v>
      </c>
      <c r="C390" s="4" t="s">
        <v>13</v>
      </c>
      <c r="D390" s="15" t="s">
        <v>19</v>
      </c>
      <c r="E390" s="15">
        <v>4945.1400000000003</v>
      </c>
      <c r="F390" s="5" t="str">
        <f>IF(Dmart_sales_data[[#This Row],[sales]]&gt;3000,"High Sales",IF(Dmart_sales_data[[#This Row],[sales]]&gt;1000,"Medium Sales","Low Sales"))</f>
        <v>High Sales</v>
      </c>
      <c r="G390" s="15">
        <v>0.11</v>
      </c>
      <c r="H390" s="15">
        <v>8</v>
      </c>
      <c r="I390" s="16">
        <v>45051</v>
      </c>
      <c r="J390" s="16">
        <v>45052</v>
      </c>
      <c r="K390" s="15" t="s">
        <v>15</v>
      </c>
      <c r="L390" s="15" t="s">
        <v>15</v>
      </c>
      <c r="M390" s="15" t="s">
        <v>21</v>
      </c>
      <c r="N390" s="15">
        <v>666.29</v>
      </c>
      <c r="O390" s="27" t="s">
        <v>17</v>
      </c>
      <c r="P390" s="17" t="s">
        <v>95</v>
      </c>
      <c r="Q390" s="55" t="str">
        <f>IF(AND(Dmart_sales_data[[#This Row],[customer_type2]]="Member",OR(Dmart_sales_data[[#This Row],[payment_mode]]="UPI",Dmart_sales_data[[#This Row],[payment_mode]]="Card")),"yes","No")</f>
        <v>yes</v>
      </c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</row>
    <row r="391" spans="1:28" ht="14.25" customHeight="1" x14ac:dyDescent="0.3">
      <c r="A391" s="8" t="s">
        <v>433</v>
      </c>
      <c r="B391" s="9" t="s">
        <v>576</v>
      </c>
      <c r="C391" s="9" t="s">
        <v>576</v>
      </c>
      <c r="D391" s="10" t="s">
        <v>37</v>
      </c>
      <c r="E391" s="10">
        <v>1046.47</v>
      </c>
      <c r="F391" s="5" t="str">
        <f>IF(Dmart_sales_data[[#This Row],[sales]]&gt;3000,"High Sales",IF(Dmart_sales_data[[#This Row],[sales]]&gt;1000,"Medium Sales","Low Sales"))</f>
        <v>Medium Sales</v>
      </c>
      <c r="G391" s="10">
        <v>0.22</v>
      </c>
      <c r="H391" s="10">
        <v>3</v>
      </c>
      <c r="I391" s="11">
        <v>44959</v>
      </c>
      <c r="J391" s="11">
        <v>44962</v>
      </c>
      <c r="K391" s="10" t="s">
        <v>20</v>
      </c>
      <c r="L391" s="10" t="s">
        <v>20</v>
      </c>
      <c r="M391" s="10" t="s">
        <v>26</v>
      </c>
      <c r="N391" s="10">
        <v>233.82</v>
      </c>
      <c r="O391" s="27" t="s">
        <v>27</v>
      </c>
      <c r="P391" s="12" t="s">
        <v>27</v>
      </c>
      <c r="Q391" s="55" t="str">
        <f>IF(AND(Dmart_sales_data[[#This Row],[customer_type2]]="Member",OR(Dmart_sales_data[[#This Row],[payment_mode]]="UPI",Dmart_sales_data[[#This Row],[payment_mode]]="Card")),"yes","No")</f>
        <v>No</v>
      </c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</row>
    <row r="392" spans="1:28" ht="14.25" customHeight="1" x14ac:dyDescent="0.3">
      <c r="A392" s="13" t="s">
        <v>434</v>
      </c>
      <c r="B392" s="14" t="s">
        <v>24</v>
      </c>
      <c r="C392" s="14" t="s">
        <v>24</v>
      </c>
      <c r="D392" s="15" t="s">
        <v>37</v>
      </c>
      <c r="E392" s="15">
        <v>3866.45</v>
      </c>
      <c r="F392" s="5" t="str">
        <f>IF(Dmart_sales_data[[#This Row],[sales]]&gt;3000,"High Sales",IF(Dmart_sales_data[[#This Row],[sales]]&gt;1000,"Medium Sales","Low Sales"))</f>
        <v>High Sales</v>
      </c>
      <c r="G392" s="15">
        <v>0.04</v>
      </c>
      <c r="H392" s="15">
        <v>6</v>
      </c>
      <c r="I392" s="16">
        <v>45399</v>
      </c>
      <c r="J392" s="16">
        <v>45405</v>
      </c>
      <c r="K392" s="15" t="s">
        <v>20</v>
      </c>
      <c r="L392" s="15" t="s">
        <v>20</v>
      </c>
      <c r="M392" s="15" t="s">
        <v>16</v>
      </c>
      <c r="N392" s="15">
        <v>447.64</v>
      </c>
      <c r="O392" s="27" t="s">
        <v>35</v>
      </c>
      <c r="P392" s="17" t="s">
        <v>58</v>
      </c>
      <c r="Q392" s="55" t="str">
        <f>IF(AND(Dmart_sales_data[[#This Row],[customer_type2]]="Member",OR(Dmart_sales_data[[#This Row],[payment_mode]]="UPI",Dmart_sales_data[[#This Row],[payment_mode]]="Card")),"yes","No")</f>
        <v>No</v>
      </c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</row>
    <row r="393" spans="1:28" ht="14.25" customHeight="1" x14ac:dyDescent="0.3">
      <c r="A393" s="8" t="s">
        <v>435</v>
      </c>
      <c r="B393" s="9" t="s">
        <v>29</v>
      </c>
      <c r="C393" s="9" t="s">
        <v>29</v>
      </c>
      <c r="D393" s="10" t="s">
        <v>14</v>
      </c>
      <c r="E393" s="10">
        <v>2803.77</v>
      </c>
      <c r="F393" s="5" t="str">
        <f>IF(Dmart_sales_data[[#This Row],[sales]]&gt;3000,"High Sales",IF(Dmart_sales_data[[#This Row],[sales]]&gt;1000,"Medium Sales","Low Sales"))</f>
        <v>Medium Sales</v>
      </c>
      <c r="G393" s="10">
        <v>0.36</v>
      </c>
      <c r="H393" s="10">
        <v>2</v>
      </c>
      <c r="I393" s="11">
        <v>45530</v>
      </c>
      <c r="J393" s="11">
        <v>45533</v>
      </c>
      <c r="K393" s="10" t="s">
        <v>15</v>
      </c>
      <c r="L393" s="10" t="s">
        <v>15</v>
      </c>
      <c r="M393" s="10" t="s">
        <v>21</v>
      </c>
      <c r="N393" s="10">
        <v>632.89</v>
      </c>
      <c r="O393" s="27" t="s">
        <v>100</v>
      </c>
      <c r="P393" s="12" t="s">
        <v>63</v>
      </c>
      <c r="Q393" s="55" t="str">
        <f>IF(AND(Dmart_sales_data[[#This Row],[customer_type2]]="Member",OR(Dmart_sales_data[[#This Row],[payment_mode]]="UPI",Dmart_sales_data[[#This Row],[payment_mode]]="Card")),"yes","No")</f>
        <v>yes</v>
      </c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</row>
    <row r="394" spans="1:28" ht="14.25" customHeight="1" x14ac:dyDescent="0.3">
      <c r="A394" s="13" t="s">
        <v>436</v>
      </c>
      <c r="B394" s="14" t="s">
        <v>13</v>
      </c>
      <c r="C394" s="4" t="s">
        <v>13</v>
      </c>
      <c r="D394" s="15" t="s">
        <v>37</v>
      </c>
      <c r="E394" s="15">
        <v>2126.7800000000002</v>
      </c>
      <c r="F394" s="5" t="str">
        <f>IF(Dmart_sales_data[[#This Row],[sales]]&gt;3000,"High Sales",IF(Dmart_sales_data[[#This Row],[sales]]&gt;1000,"Medium Sales","Low Sales"))</f>
        <v>Medium Sales</v>
      </c>
      <c r="G394" s="15">
        <v>0.28000000000000003</v>
      </c>
      <c r="H394" s="15">
        <v>9</v>
      </c>
      <c r="I394" s="16">
        <v>45361</v>
      </c>
      <c r="J394" s="16">
        <v>45367</v>
      </c>
      <c r="K394" s="15" t="s">
        <v>15</v>
      </c>
      <c r="L394" s="15" t="s">
        <v>15</v>
      </c>
      <c r="M394" s="15" t="s">
        <v>21</v>
      </c>
      <c r="N394" s="15">
        <v>513.26</v>
      </c>
      <c r="O394" s="27" t="s">
        <v>41</v>
      </c>
      <c r="P394" s="17" t="s">
        <v>68</v>
      </c>
      <c r="Q394" s="55" t="str">
        <f>IF(AND(Dmart_sales_data[[#This Row],[customer_type2]]="Member",OR(Dmart_sales_data[[#This Row],[payment_mode]]="UPI",Dmart_sales_data[[#This Row],[payment_mode]]="Card")),"yes","No")</f>
        <v>yes</v>
      </c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</row>
    <row r="395" spans="1:28" ht="14.25" customHeight="1" x14ac:dyDescent="0.3">
      <c r="A395" s="8" t="s">
        <v>437</v>
      </c>
      <c r="B395" s="9" t="s">
        <v>576</v>
      </c>
      <c r="C395" s="9" t="s">
        <v>576</v>
      </c>
      <c r="D395" s="10" t="s">
        <v>37</v>
      </c>
      <c r="E395" s="10">
        <v>3204.29</v>
      </c>
      <c r="F395" s="5" t="str">
        <f>IF(Dmart_sales_data[[#This Row],[sales]]&gt;3000,"High Sales",IF(Dmart_sales_data[[#This Row],[sales]]&gt;1000,"Medium Sales","Low Sales"))</f>
        <v>High Sales</v>
      </c>
      <c r="G395" s="10">
        <v>0.22</v>
      </c>
      <c r="H395" s="10">
        <v>6</v>
      </c>
      <c r="I395" s="11">
        <v>45630</v>
      </c>
      <c r="J395" s="11">
        <v>45635</v>
      </c>
      <c r="K395" s="10" t="s">
        <v>15</v>
      </c>
      <c r="L395" s="10" t="s">
        <v>15</v>
      </c>
      <c r="M395" s="10" t="s">
        <v>26</v>
      </c>
      <c r="N395" s="10">
        <v>431.14</v>
      </c>
      <c r="O395" s="27" t="s">
        <v>100</v>
      </c>
      <c r="P395" s="12" t="s">
        <v>63</v>
      </c>
      <c r="Q395" s="55" t="str">
        <f>IF(AND(Dmart_sales_data[[#This Row],[customer_type2]]="Member",OR(Dmart_sales_data[[#This Row],[payment_mode]]="UPI",Dmart_sales_data[[#This Row],[payment_mode]]="Card")),"yes","No")</f>
        <v>No</v>
      </c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</row>
    <row r="396" spans="1:28" ht="14.25" customHeight="1" x14ac:dyDescent="0.3">
      <c r="A396" s="13" t="s">
        <v>438</v>
      </c>
      <c r="B396" s="14" t="s">
        <v>24</v>
      </c>
      <c r="C396" s="14" t="s">
        <v>24</v>
      </c>
      <c r="D396" s="15" t="s">
        <v>34</v>
      </c>
      <c r="E396" s="15">
        <v>4282.3</v>
      </c>
      <c r="F396" s="5" t="str">
        <f>IF(Dmart_sales_data[[#This Row],[sales]]&gt;3000,"High Sales",IF(Dmart_sales_data[[#This Row],[sales]]&gt;1000,"Medium Sales","Low Sales"))</f>
        <v>High Sales</v>
      </c>
      <c r="G396" s="15">
        <v>0.26</v>
      </c>
      <c r="H396" s="15">
        <v>5</v>
      </c>
      <c r="I396" s="16">
        <v>44949</v>
      </c>
      <c r="J396" s="16">
        <v>44956</v>
      </c>
      <c r="K396" s="15" t="s">
        <v>20</v>
      </c>
      <c r="L396" s="15" t="s">
        <v>20</v>
      </c>
      <c r="M396" s="15" t="s">
        <v>21</v>
      </c>
      <c r="N396" s="15">
        <v>275.87</v>
      </c>
      <c r="O396" s="27" t="s">
        <v>35</v>
      </c>
      <c r="P396" s="17" t="s">
        <v>30</v>
      </c>
      <c r="Q396" s="55" t="str">
        <f>IF(AND(Dmart_sales_data[[#This Row],[customer_type2]]="Member",OR(Dmart_sales_data[[#This Row],[payment_mode]]="UPI",Dmart_sales_data[[#This Row],[payment_mode]]="Card")),"yes","No")</f>
        <v>No</v>
      </c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</row>
    <row r="397" spans="1:28" ht="14.25" customHeight="1" x14ac:dyDescent="0.3">
      <c r="A397" s="8" t="s">
        <v>439</v>
      </c>
      <c r="B397" s="9" t="s">
        <v>29</v>
      </c>
      <c r="C397" s="9" t="s">
        <v>29</v>
      </c>
      <c r="D397" s="10" t="s">
        <v>37</v>
      </c>
      <c r="E397" s="10">
        <v>2386.5300000000002</v>
      </c>
      <c r="F397" s="5" t="str">
        <f>IF(Dmart_sales_data[[#This Row],[sales]]&gt;3000,"High Sales",IF(Dmart_sales_data[[#This Row],[sales]]&gt;1000,"Medium Sales","Low Sales"))</f>
        <v>Medium Sales</v>
      </c>
      <c r="G397" s="10">
        <v>0.33</v>
      </c>
      <c r="H397" s="10">
        <v>9</v>
      </c>
      <c r="I397" s="11">
        <v>45008</v>
      </c>
      <c r="J397" s="11">
        <v>45011</v>
      </c>
      <c r="K397" s="10" t="s">
        <v>20</v>
      </c>
      <c r="L397" s="10" t="s">
        <v>20</v>
      </c>
      <c r="M397" s="10" t="s">
        <v>21</v>
      </c>
      <c r="N397" s="10">
        <v>547.59</v>
      </c>
      <c r="O397" s="27" t="s">
        <v>27</v>
      </c>
      <c r="P397" s="12" t="s">
        <v>48</v>
      </c>
      <c r="Q397" s="55" t="str">
        <f>IF(AND(Dmart_sales_data[[#This Row],[customer_type2]]="Member",OR(Dmart_sales_data[[#This Row],[payment_mode]]="UPI",Dmart_sales_data[[#This Row],[payment_mode]]="Card")),"yes","No")</f>
        <v>No</v>
      </c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</row>
    <row r="398" spans="1:28" ht="14.25" customHeight="1" x14ac:dyDescent="0.3">
      <c r="A398" s="13" t="s">
        <v>440</v>
      </c>
      <c r="B398" s="14" t="s">
        <v>13</v>
      </c>
      <c r="C398" s="4" t="s">
        <v>13</v>
      </c>
      <c r="D398" s="15" t="s">
        <v>25</v>
      </c>
      <c r="E398" s="15">
        <v>4337.53</v>
      </c>
      <c r="F398" s="5" t="str">
        <f>IF(Dmart_sales_data[[#This Row],[sales]]&gt;3000,"High Sales",IF(Dmart_sales_data[[#This Row],[sales]]&gt;1000,"Medium Sales","Low Sales"))</f>
        <v>High Sales</v>
      </c>
      <c r="G398" s="15">
        <v>0.5</v>
      </c>
      <c r="H398" s="15">
        <v>1</v>
      </c>
      <c r="I398" s="16">
        <v>45129</v>
      </c>
      <c r="J398" s="16">
        <v>45133</v>
      </c>
      <c r="K398" s="15" t="s">
        <v>20</v>
      </c>
      <c r="L398" s="15" t="s">
        <v>20</v>
      </c>
      <c r="M398" s="15" t="s">
        <v>21</v>
      </c>
      <c r="N398" s="15">
        <v>367.48</v>
      </c>
      <c r="O398" s="27" t="s">
        <v>79</v>
      </c>
      <c r="P398" s="17" t="s">
        <v>22</v>
      </c>
      <c r="Q398" s="55" t="str">
        <f>IF(AND(Dmart_sales_data[[#This Row],[customer_type2]]="Member",OR(Dmart_sales_data[[#This Row],[payment_mode]]="UPI",Dmart_sales_data[[#This Row],[payment_mode]]="Card")),"yes","No")</f>
        <v>No</v>
      </c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</row>
    <row r="399" spans="1:28" ht="14.25" customHeight="1" x14ac:dyDescent="0.3">
      <c r="A399" s="8" t="s">
        <v>441</v>
      </c>
      <c r="B399" s="9" t="s">
        <v>576</v>
      </c>
      <c r="C399" s="9" t="s">
        <v>576</v>
      </c>
      <c r="D399" s="10" t="s">
        <v>14</v>
      </c>
      <c r="E399" s="10">
        <v>559.61</v>
      </c>
      <c r="F399" s="5" t="str">
        <f>IF(Dmart_sales_data[[#This Row],[sales]]&gt;3000,"High Sales",IF(Dmart_sales_data[[#This Row],[sales]]&gt;1000,"Medium Sales","Low Sales"))</f>
        <v>Low Sales</v>
      </c>
      <c r="G399" s="10">
        <v>0.39</v>
      </c>
      <c r="H399" s="10">
        <v>3</v>
      </c>
      <c r="I399" s="11">
        <v>45481</v>
      </c>
      <c r="J399" s="11">
        <v>45485</v>
      </c>
      <c r="K399" s="10" t="s">
        <v>32</v>
      </c>
      <c r="L399" s="10" t="s">
        <v>32</v>
      </c>
      <c r="M399" s="10" t="s">
        <v>21</v>
      </c>
      <c r="N399" s="10">
        <v>66.31</v>
      </c>
      <c r="O399" s="27" t="s">
        <v>27</v>
      </c>
      <c r="P399" s="12" t="s">
        <v>39</v>
      </c>
      <c r="Q399" s="55" t="str">
        <f>IF(AND(Dmart_sales_data[[#This Row],[customer_type2]]="Member",OR(Dmart_sales_data[[#This Row],[payment_mode]]="UPI",Dmart_sales_data[[#This Row],[payment_mode]]="Card")),"yes","No")</f>
        <v>No</v>
      </c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</row>
    <row r="400" spans="1:28" ht="14.25" customHeight="1" x14ac:dyDescent="0.3">
      <c r="A400" s="13" t="s">
        <v>442</v>
      </c>
      <c r="B400" s="14" t="s">
        <v>24</v>
      </c>
      <c r="C400" s="14" t="s">
        <v>24</v>
      </c>
      <c r="D400" s="15" t="s">
        <v>19</v>
      </c>
      <c r="E400" s="15">
        <v>3300.11</v>
      </c>
      <c r="F400" s="5" t="str">
        <f>IF(Dmart_sales_data[[#This Row],[sales]]&gt;3000,"High Sales",IF(Dmart_sales_data[[#This Row],[sales]]&gt;1000,"Medium Sales","Low Sales"))</f>
        <v>High Sales</v>
      </c>
      <c r="G400" s="15">
        <v>0.27</v>
      </c>
      <c r="H400" s="15">
        <v>2</v>
      </c>
      <c r="I400" s="16">
        <v>45033</v>
      </c>
      <c r="J400" s="16">
        <v>45034</v>
      </c>
      <c r="K400" s="15" t="s">
        <v>15</v>
      </c>
      <c r="L400" s="15" t="s">
        <v>15</v>
      </c>
      <c r="M400" s="15" t="s">
        <v>21</v>
      </c>
      <c r="N400" s="15">
        <v>653.08000000000004</v>
      </c>
      <c r="O400" s="27" t="s">
        <v>35</v>
      </c>
      <c r="P400" s="17" t="s">
        <v>30</v>
      </c>
      <c r="Q400" s="55" t="str">
        <f>IF(AND(Dmart_sales_data[[#This Row],[customer_type2]]="Member",OR(Dmart_sales_data[[#This Row],[payment_mode]]="UPI",Dmart_sales_data[[#This Row],[payment_mode]]="Card")),"yes","No")</f>
        <v>yes</v>
      </c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</row>
    <row r="401" spans="1:28" ht="14.25" customHeight="1" x14ac:dyDescent="0.3">
      <c r="A401" s="8" t="s">
        <v>443</v>
      </c>
      <c r="B401" s="9" t="s">
        <v>29</v>
      </c>
      <c r="C401" s="9" t="s">
        <v>29</v>
      </c>
      <c r="D401" s="10" t="s">
        <v>19</v>
      </c>
      <c r="E401" s="10">
        <v>1732.58</v>
      </c>
      <c r="F401" s="5" t="str">
        <f>IF(Dmart_sales_data[[#This Row],[sales]]&gt;3000,"High Sales",IF(Dmart_sales_data[[#This Row],[sales]]&gt;1000,"Medium Sales","Low Sales"))</f>
        <v>Medium Sales</v>
      </c>
      <c r="G401" s="10">
        <v>0.39</v>
      </c>
      <c r="H401" s="10">
        <v>9</v>
      </c>
      <c r="I401" s="11">
        <v>45000</v>
      </c>
      <c r="J401" s="11">
        <v>45005</v>
      </c>
      <c r="K401" s="10" t="s">
        <v>20</v>
      </c>
      <c r="L401" s="10" t="s">
        <v>20</v>
      </c>
      <c r="M401" s="10" t="s">
        <v>26</v>
      </c>
      <c r="N401" s="10">
        <v>484.92</v>
      </c>
      <c r="O401" s="27" t="s">
        <v>17</v>
      </c>
      <c r="P401" s="12" t="s">
        <v>52</v>
      </c>
      <c r="Q401" s="55" t="str">
        <f>IF(AND(Dmart_sales_data[[#This Row],[customer_type2]]="Member",OR(Dmart_sales_data[[#This Row],[payment_mode]]="UPI",Dmart_sales_data[[#This Row],[payment_mode]]="Card")),"yes","No")</f>
        <v>No</v>
      </c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</row>
    <row r="402" spans="1:28" ht="14.25" customHeight="1" x14ac:dyDescent="0.3">
      <c r="A402" s="13" t="s">
        <v>444</v>
      </c>
      <c r="B402" s="14" t="s">
        <v>13</v>
      </c>
      <c r="C402" s="4" t="s">
        <v>13</v>
      </c>
      <c r="D402" s="15" t="s">
        <v>34</v>
      </c>
      <c r="E402" s="15">
        <v>1994.91</v>
      </c>
      <c r="F402" s="5" t="str">
        <f>IF(Dmart_sales_data[[#This Row],[sales]]&gt;3000,"High Sales",IF(Dmart_sales_data[[#This Row],[sales]]&gt;1000,"Medium Sales","Low Sales"))</f>
        <v>Medium Sales</v>
      </c>
      <c r="G402" s="15">
        <v>0.24</v>
      </c>
      <c r="H402" s="15">
        <v>6</v>
      </c>
      <c r="I402" s="16">
        <v>45282</v>
      </c>
      <c r="J402" s="16">
        <v>45289</v>
      </c>
      <c r="K402" s="15" t="s">
        <v>15</v>
      </c>
      <c r="L402" s="15" t="s">
        <v>15</v>
      </c>
      <c r="M402" s="15" t="s">
        <v>21</v>
      </c>
      <c r="N402" s="15">
        <v>476.38</v>
      </c>
      <c r="O402" s="27" t="s">
        <v>79</v>
      </c>
      <c r="P402" s="17" t="s">
        <v>55</v>
      </c>
      <c r="Q402" s="55" t="str">
        <f>IF(AND(Dmart_sales_data[[#This Row],[customer_type2]]="Member",OR(Dmart_sales_data[[#This Row],[payment_mode]]="UPI",Dmart_sales_data[[#This Row],[payment_mode]]="Card")),"yes","No")</f>
        <v>yes</v>
      </c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</row>
    <row r="403" spans="1:28" ht="14.25" customHeight="1" x14ac:dyDescent="0.3">
      <c r="A403" s="8" t="s">
        <v>445</v>
      </c>
      <c r="B403" s="9" t="s">
        <v>576</v>
      </c>
      <c r="C403" s="9" t="s">
        <v>576</v>
      </c>
      <c r="D403" s="10" t="s">
        <v>19</v>
      </c>
      <c r="E403" s="10">
        <v>2898</v>
      </c>
      <c r="F403" s="5" t="str">
        <f>IF(Dmart_sales_data[[#This Row],[sales]]&gt;3000,"High Sales",IF(Dmart_sales_data[[#This Row],[sales]]&gt;1000,"Medium Sales","Low Sales"))</f>
        <v>Medium Sales</v>
      </c>
      <c r="G403" s="10">
        <v>0.16</v>
      </c>
      <c r="H403" s="10">
        <v>6</v>
      </c>
      <c r="I403" s="11">
        <v>45127</v>
      </c>
      <c r="J403" s="11">
        <v>45131</v>
      </c>
      <c r="K403" s="10" t="s">
        <v>32</v>
      </c>
      <c r="L403" s="10" t="s">
        <v>32</v>
      </c>
      <c r="M403" s="10" t="s">
        <v>16</v>
      </c>
      <c r="N403" s="10">
        <v>339.95</v>
      </c>
      <c r="O403" s="27" t="s">
        <v>41</v>
      </c>
      <c r="P403" s="12" t="s">
        <v>68</v>
      </c>
      <c r="Q403" s="55" t="str">
        <f>IF(AND(Dmart_sales_data[[#This Row],[customer_type2]]="Member",OR(Dmart_sales_data[[#This Row],[payment_mode]]="UPI",Dmart_sales_data[[#This Row],[payment_mode]]="Card")),"yes","No")</f>
        <v>No</v>
      </c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</row>
    <row r="404" spans="1:28" ht="14.25" customHeight="1" x14ac:dyDescent="0.3">
      <c r="A404" s="13" t="s">
        <v>446</v>
      </c>
      <c r="B404" s="14" t="s">
        <v>24</v>
      </c>
      <c r="C404" s="14" t="s">
        <v>24</v>
      </c>
      <c r="D404" s="15" t="s">
        <v>19</v>
      </c>
      <c r="E404" s="15">
        <v>2451.59</v>
      </c>
      <c r="F404" s="5" t="str">
        <f>IF(Dmart_sales_data[[#This Row],[sales]]&gt;3000,"High Sales",IF(Dmart_sales_data[[#This Row],[sales]]&gt;1000,"Medium Sales","Low Sales"))</f>
        <v>Medium Sales</v>
      </c>
      <c r="G404" s="15">
        <v>0.13</v>
      </c>
      <c r="H404" s="15">
        <v>5</v>
      </c>
      <c r="I404" s="16">
        <v>45288</v>
      </c>
      <c r="J404" s="16">
        <v>45289</v>
      </c>
      <c r="K404" s="15" t="s">
        <v>15</v>
      </c>
      <c r="L404" s="15" t="s">
        <v>15</v>
      </c>
      <c r="M404" s="15" t="s">
        <v>16</v>
      </c>
      <c r="N404" s="15">
        <v>620.73</v>
      </c>
      <c r="O404" s="27" t="s">
        <v>79</v>
      </c>
      <c r="P404" s="17" t="s">
        <v>79</v>
      </c>
      <c r="Q404" s="55" t="str">
        <f>IF(AND(Dmart_sales_data[[#This Row],[customer_type2]]="Member",OR(Dmart_sales_data[[#This Row],[payment_mode]]="UPI",Dmart_sales_data[[#This Row],[payment_mode]]="Card")),"yes","No")</f>
        <v>yes</v>
      </c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</row>
    <row r="405" spans="1:28" ht="14.25" customHeight="1" x14ac:dyDescent="0.3">
      <c r="A405" s="8" t="s">
        <v>447</v>
      </c>
      <c r="B405" s="9" t="s">
        <v>29</v>
      </c>
      <c r="C405" s="9" t="s">
        <v>29</v>
      </c>
      <c r="D405" s="10" t="s">
        <v>14</v>
      </c>
      <c r="E405" s="10">
        <v>1970.72</v>
      </c>
      <c r="F405" s="5" t="str">
        <f>IF(Dmart_sales_data[[#This Row],[sales]]&gt;3000,"High Sales",IF(Dmart_sales_data[[#This Row],[sales]]&gt;1000,"Medium Sales","Low Sales"))</f>
        <v>Medium Sales</v>
      </c>
      <c r="G405" s="10">
        <v>0.2</v>
      </c>
      <c r="H405" s="10">
        <v>4</v>
      </c>
      <c r="I405" s="11">
        <v>45515</v>
      </c>
      <c r="J405" s="11">
        <v>45520</v>
      </c>
      <c r="K405" s="10" t="s">
        <v>20</v>
      </c>
      <c r="L405" s="10" t="s">
        <v>20</v>
      </c>
      <c r="M405" s="10" t="s">
        <v>16</v>
      </c>
      <c r="N405" s="10">
        <v>300.44</v>
      </c>
      <c r="O405" s="27" t="s">
        <v>17</v>
      </c>
      <c r="P405" s="12" t="s">
        <v>95</v>
      </c>
      <c r="Q405" s="55" t="str">
        <f>IF(AND(Dmart_sales_data[[#This Row],[customer_type2]]="Member",OR(Dmart_sales_data[[#This Row],[payment_mode]]="UPI",Dmart_sales_data[[#This Row],[payment_mode]]="Card")),"yes","No")</f>
        <v>No</v>
      </c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</row>
    <row r="406" spans="1:28" ht="14.25" customHeight="1" x14ac:dyDescent="0.3">
      <c r="A406" s="13" t="s">
        <v>448</v>
      </c>
      <c r="B406" s="14" t="s">
        <v>13</v>
      </c>
      <c r="C406" s="4" t="s">
        <v>13</v>
      </c>
      <c r="D406" s="15" t="s">
        <v>14</v>
      </c>
      <c r="E406" s="15">
        <v>1610.78</v>
      </c>
      <c r="F406" s="5" t="str">
        <f>IF(Dmart_sales_data[[#This Row],[sales]]&gt;3000,"High Sales",IF(Dmart_sales_data[[#This Row],[sales]]&gt;1000,"Medium Sales","Low Sales"))</f>
        <v>Medium Sales</v>
      </c>
      <c r="G406" s="15">
        <v>0</v>
      </c>
      <c r="H406" s="15">
        <v>4</v>
      </c>
      <c r="I406" s="16">
        <v>45397</v>
      </c>
      <c r="J406" s="16">
        <v>45401</v>
      </c>
      <c r="K406" s="15" t="s">
        <v>15</v>
      </c>
      <c r="L406" s="15" t="s">
        <v>15</v>
      </c>
      <c r="M406" s="15" t="s">
        <v>26</v>
      </c>
      <c r="N406" s="15">
        <v>138.59</v>
      </c>
      <c r="O406" s="27" t="s">
        <v>79</v>
      </c>
      <c r="P406" s="17" t="s">
        <v>79</v>
      </c>
      <c r="Q406" s="55" t="str">
        <f>IF(AND(Dmart_sales_data[[#This Row],[customer_type2]]="Member",OR(Dmart_sales_data[[#This Row],[payment_mode]]="UPI",Dmart_sales_data[[#This Row],[payment_mode]]="Card")),"yes","No")</f>
        <v>No</v>
      </c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</row>
    <row r="407" spans="1:28" ht="14.25" customHeight="1" x14ac:dyDescent="0.3">
      <c r="A407" s="8" t="s">
        <v>449</v>
      </c>
      <c r="B407" s="9" t="s">
        <v>576</v>
      </c>
      <c r="C407" s="9" t="s">
        <v>576</v>
      </c>
      <c r="D407" s="10" t="s">
        <v>25</v>
      </c>
      <c r="E407" s="10">
        <v>3129.74</v>
      </c>
      <c r="F407" s="5" t="str">
        <f>IF(Dmart_sales_data[[#This Row],[sales]]&gt;3000,"High Sales",IF(Dmart_sales_data[[#This Row],[sales]]&gt;1000,"Medium Sales","Low Sales"))</f>
        <v>High Sales</v>
      </c>
      <c r="G407" s="10">
        <v>0.09</v>
      </c>
      <c r="H407" s="10">
        <v>2</v>
      </c>
      <c r="I407" s="11">
        <v>45311</v>
      </c>
      <c r="J407" s="11">
        <v>45313</v>
      </c>
      <c r="K407" s="10" t="s">
        <v>20</v>
      </c>
      <c r="L407" s="10" t="s">
        <v>20</v>
      </c>
      <c r="M407" s="10" t="s">
        <v>21</v>
      </c>
      <c r="N407" s="10">
        <v>398.59</v>
      </c>
      <c r="O407" s="27" t="s">
        <v>17</v>
      </c>
      <c r="P407" s="12" t="s">
        <v>52</v>
      </c>
      <c r="Q407" s="55" t="str">
        <f>IF(AND(Dmart_sales_data[[#This Row],[customer_type2]]="Member",OR(Dmart_sales_data[[#This Row],[payment_mode]]="UPI",Dmart_sales_data[[#This Row],[payment_mode]]="Card")),"yes","No")</f>
        <v>No</v>
      </c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</row>
    <row r="408" spans="1:28" ht="14.25" customHeight="1" x14ac:dyDescent="0.3">
      <c r="A408" s="13" t="s">
        <v>450</v>
      </c>
      <c r="B408" s="14" t="s">
        <v>24</v>
      </c>
      <c r="C408" s="14" t="s">
        <v>24</v>
      </c>
      <c r="D408" s="15" t="s">
        <v>34</v>
      </c>
      <c r="E408" s="15">
        <v>2577.34</v>
      </c>
      <c r="F408" s="5" t="str">
        <f>IF(Dmart_sales_data[[#This Row],[sales]]&gt;3000,"High Sales",IF(Dmart_sales_data[[#This Row],[sales]]&gt;1000,"Medium Sales","Low Sales"))</f>
        <v>Medium Sales</v>
      </c>
      <c r="G408" s="15">
        <v>0.06</v>
      </c>
      <c r="H408" s="15">
        <v>7</v>
      </c>
      <c r="I408" s="16">
        <v>44945</v>
      </c>
      <c r="J408" s="16">
        <v>44946</v>
      </c>
      <c r="K408" s="15" t="s">
        <v>32</v>
      </c>
      <c r="L408" s="15" t="s">
        <v>32</v>
      </c>
      <c r="M408" s="15" t="s">
        <v>21</v>
      </c>
      <c r="N408" s="15">
        <v>658.39</v>
      </c>
      <c r="O408" s="27" t="s">
        <v>100</v>
      </c>
      <c r="P408" s="17" t="s">
        <v>100</v>
      </c>
      <c r="Q408" s="55" t="str">
        <f>IF(AND(Dmart_sales_data[[#This Row],[customer_type2]]="Member",OR(Dmart_sales_data[[#This Row],[payment_mode]]="UPI",Dmart_sales_data[[#This Row],[payment_mode]]="Card")),"yes","No")</f>
        <v>No</v>
      </c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</row>
    <row r="409" spans="1:28" ht="14.25" customHeight="1" x14ac:dyDescent="0.3">
      <c r="A409" s="8" t="s">
        <v>451</v>
      </c>
      <c r="B409" s="9" t="s">
        <v>29</v>
      </c>
      <c r="C409" s="9" t="s">
        <v>29</v>
      </c>
      <c r="D409" s="10" t="s">
        <v>19</v>
      </c>
      <c r="E409" s="10">
        <v>1684.21</v>
      </c>
      <c r="F409" s="5" t="str">
        <f>IF(Dmart_sales_data[[#This Row],[sales]]&gt;3000,"High Sales",IF(Dmart_sales_data[[#This Row],[sales]]&gt;1000,"Medium Sales","Low Sales"))</f>
        <v>Medium Sales</v>
      </c>
      <c r="G409" s="10">
        <v>0.48</v>
      </c>
      <c r="H409" s="10">
        <v>6</v>
      </c>
      <c r="I409" s="11">
        <v>45571</v>
      </c>
      <c r="J409" s="11">
        <v>45575</v>
      </c>
      <c r="K409" s="10" t="s">
        <v>32</v>
      </c>
      <c r="L409" s="10" t="s">
        <v>32</v>
      </c>
      <c r="M409" s="10" t="s">
        <v>21</v>
      </c>
      <c r="N409" s="10">
        <v>240.4</v>
      </c>
      <c r="O409" s="27" t="s">
        <v>27</v>
      </c>
      <c r="P409" s="12" t="s">
        <v>27</v>
      </c>
      <c r="Q409" s="55" t="str">
        <f>IF(AND(Dmart_sales_data[[#This Row],[customer_type2]]="Member",OR(Dmart_sales_data[[#This Row],[payment_mode]]="UPI",Dmart_sales_data[[#This Row],[payment_mode]]="Card")),"yes","No")</f>
        <v>No</v>
      </c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</row>
    <row r="410" spans="1:28" ht="14.25" customHeight="1" x14ac:dyDescent="0.3">
      <c r="A410" s="13" t="s">
        <v>452</v>
      </c>
      <c r="B410" s="14" t="s">
        <v>13</v>
      </c>
      <c r="C410" s="4" t="s">
        <v>13</v>
      </c>
      <c r="D410" s="15" t="s">
        <v>25</v>
      </c>
      <c r="E410" s="15">
        <v>1104.31</v>
      </c>
      <c r="F410" s="5" t="str">
        <f>IF(Dmart_sales_data[[#This Row],[sales]]&gt;3000,"High Sales",IF(Dmart_sales_data[[#This Row],[sales]]&gt;1000,"Medium Sales","Low Sales"))</f>
        <v>Medium Sales</v>
      </c>
      <c r="G410" s="15">
        <v>0.03</v>
      </c>
      <c r="H410" s="15">
        <v>3</v>
      </c>
      <c r="I410" s="16">
        <v>45621</v>
      </c>
      <c r="J410" s="16">
        <v>45623</v>
      </c>
      <c r="K410" s="15" t="s">
        <v>20</v>
      </c>
      <c r="L410" s="15" t="s">
        <v>20</v>
      </c>
      <c r="M410" s="15" t="s">
        <v>21</v>
      </c>
      <c r="N410" s="15">
        <v>160.11000000000001</v>
      </c>
      <c r="O410" s="27" t="s">
        <v>27</v>
      </c>
      <c r="P410" s="17" t="s">
        <v>27</v>
      </c>
      <c r="Q410" s="55" t="str">
        <f>IF(AND(Dmart_sales_data[[#This Row],[customer_type2]]="Member",OR(Dmart_sales_data[[#This Row],[payment_mode]]="UPI",Dmart_sales_data[[#This Row],[payment_mode]]="Card")),"yes","No")</f>
        <v>No</v>
      </c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</row>
    <row r="411" spans="1:28" ht="14.25" customHeight="1" x14ac:dyDescent="0.3">
      <c r="A411" s="8" t="s">
        <v>453</v>
      </c>
      <c r="B411" s="9" t="s">
        <v>576</v>
      </c>
      <c r="C411" s="9" t="s">
        <v>576</v>
      </c>
      <c r="D411" s="10" t="s">
        <v>34</v>
      </c>
      <c r="E411" s="10">
        <v>3894.89</v>
      </c>
      <c r="F411" s="5" t="str">
        <f>IF(Dmart_sales_data[[#This Row],[sales]]&gt;3000,"High Sales",IF(Dmart_sales_data[[#This Row],[sales]]&gt;1000,"Medium Sales","Low Sales"))</f>
        <v>High Sales</v>
      </c>
      <c r="G411" s="10">
        <v>0.25</v>
      </c>
      <c r="H411" s="10">
        <v>7</v>
      </c>
      <c r="I411" s="11">
        <v>45500</v>
      </c>
      <c r="J411" s="11">
        <v>45506</v>
      </c>
      <c r="K411" s="10" t="s">
        <v>32</v>
      </c>
      <c r="L411" s="10" t="s">
        <v>32</v>
      </c>
      <c r="M411" s="10" t="s">
        <v>26</v>
      </c>
      <c r="N411" s="10">
        <v>1145.5</v>
      </c>
      <c r="O411" s="27" t="s">
        <v>17</v>
      </c>
      <c r="P411" s="12" t="s">
        <v>52</v>
      </c>
      <c r="Q411" s="55" t="str">
        <f>IF(AND(Dmart_sales_data[[#This Row],[customer_type2]]="Member",OR(Dmart_sales_data[[#This Row],[payment_mode]]="UPI",Dmart_sales_data[[#This Row],[payment_mode]]="Card")),"yes","No")</f>
        <v>No</v>
      </c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</row>
    <row r="412" spans="1:28" ht="14.25" customHeight="1" x14ac:dyDescent="0.3">
      <c r="A412" s="13" t="s">
        <v>454</v>
      </c>
      <c r="B412" s="14" t="s">
        <v>24</v>
      </c>
      <c r="C412" s="14" t="s">
        <v>24</v>
      </c>
      <c r="D412" s="15" t="s">
        <v>19</v>
      </c>
      <c r="E412" s="15">
        <v>4018.6</v>
      </c>
      <c r="F412" s="5" t="str">
        <f>IF(Dmart_sales_data[[#This Row],[sales]]&gt;3000,"High Sales",IF(Dmart_sales_data[[#This Row],[sales]]&gt;1000,"Medium Sales","Low Sales"))</f>
        <v>High Sales</v>
      </c>
      <c r="G412" s="15">
        <v>0.46</v>
      </c>
      <c r="H412" s="15">
        <v>9</v>
      </c>
      <c r="I412" s="16">
        <v>45571</v>
      </c>
      <c r="J412" s="16">
        <v>45572</v>
      </c>
      <c r="K412" s="15" t="s">
        <v>15</v>
      </c>
      <c r="L412" s="15" t="s">
        <v>15</v>
      </c>
      <c r="M412" s="15" t="s">
        <v>16</v>
      </c>
      <c r="N412" s="15">
        <v>719.59</v>
      </c>
      <c r="O412" s="27" t="s">
        <v>100</v>
      </c>
      <c r="P412" s="17" t="s">
        <v>65</v>
      </c>
      <c r="Q412" s="55" t="str">
        <f>IF(AND(Dmart_sales_data[[#This Row],[customer_type2]]="Member",OR(Dmart_sales_data[[#This Row],[payment_mode]]="UPI",Dmart_sales_data[[#This Row],[payment_mode]]="Card")),"yes","No")</f>
        <v>yes</v>
      </c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</row>
    <row r="413" spans="1:28" ht="14.25" customHeight="1" x14ac:dyDescent="0.3">
      <c r="A413" s="8" t="s">
        <v>455</v>
      </c>
      <c r="B413" s="9" t="s">
        <v>29</v>
      </c>
      <c r="C413" s="9" t="s">
        <v>29</v>
      </c>
      <c r="D413" s="10" t="s">
        <v>19</v>
      </c>
      <c r="E413" s="10">
        <v>1147.56</v>
      </c>
      <c r="F413" s="5" t="str">
        <f>IF(Dmart_sales_data[[#This Row],[sales]]&gt;3000,"High Sales",IF(Dmart_sales_data[[#This Row],[sales]]&gt;1000,"Medium Sales","Low Sales"))</f>
        <v>Medium Sales</v>
      </c>
      <c r="G413" s="10">
        <v>0.3</v>
      </c>
      <c r="H413" s="10">
        <v>1</v>
      </c>
      <c r="I413" s="11">
        <v>45047</v>
      </c>
      <c r="J413" s="11">
        <v>45051</v>
      </c>
      <c r="K413" s="10" t="s">
        <v>32</v>
      </c>
      <c r="L413" s="10" t="s">
        <v>32</v>
      </c>
      <c r="M413" s="10" t="s">
        <v>26</v>
      </c>
      <c r="N413" s="10">
        <v>199.91</v>
      </c>
      <c r="O413" s="27" t="s">
        <v>17</v>
      </c>
      <c r="P413" s="12" t="s">
        <v>52</v>
      </c>
      <c r="Q413" s="55" t="str">
        <f>IF(AND(Dmart_sales_data[[#This Row],[customer_type2]]="Member",OR(Dmart_sales_data[[#This Row],[payment_mode]]="UPI",Dmart_sales_data[[#This Row],[payment_mode]]="Card")),"yes","No")</f>
        <v>No</v>
      </c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</row>
    <row r="414" spans="1:28" ht="14.25" customHeight="1" x14ac:dyDescent="0.3">
      <c r="A414" s="13" t="s">
        <v>456</v>
      </c>
      <c r="B414" s="14" t="s">
        <v>13</v>
      </c>
      <c r="C414" s="4" t="s">
        <v>13</v>
      </c>
      <c r="D414" s="15" t="s">
        <v>14</v>
      </c>
      <c r="E414" s="15">
        <v>1382.08</v>
      </c>
      <c r="F414" s="5" t="str">
        <f>IF(Dmart_sales_data[[#This Row],[sales]]&gt;3000,"High Sales",IF(Dmart_sales_data[[#This Row],[sales]]&gt;1000,"Medium Sales","Low Sales"))</f>
        <v>Medium Sales</v>
      </c>
      <c r="G414" s="15">
        <v>0.25</v>
      </c>
      <c r="H414" s="15">
        <v>8</v>
      </c>
      <c r="I414" s="16">
        <v>45061</v>
      </c>
      <c r="J414" s="16">
        <v>45062</v>
      </c>
      <c r="K414" s="15" t="s">
        <v>32</v>
      </c>
      <c r="L414" s="15" t="s">
        <v>32</v>
      </c>
      <c r="M414" s="15" t="s">
        <v>21</v>
      </c>
      <c r="N414" s="15">
        <v>321.3</v>
      </c>
      <c r="O414" s="27" t="s">
        <v>79</v>
      </c>
      <c r="P414" s="17" t="s">
        <v>55</v>
      </c>
      <c r="Q414" s="55" t="str">
        <f>IF(AND(Dmart_sales_data[[#This Row],[customer_type2]]="Member",OR(Dmart_sales_data[[#This Row],[payment_mode]]="UPI",Dmart_sales_data[[#This Row],[payment_mode]]="Card")),"yes","No")</f>
        <v>No</v>
      </c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</row>
    <row r="415" spans="1:28" ht="14.25" customHeight="1" x14ac:dyDescent="0.3">
      <c r="A415" s="8" t="s">
        <v>457</v>
      </c>
      <c r="B415" s="9" t="s">
        <v>576</v>
      </c>
      <c r="C415" s="9" t="s">
        <v>576</v>
      </c>
      <c r="D415" s="10" t="s">
        <v>37</v>
      </c>
      <c r="E415" s="10">
        <v>1271.8</v>
      </c>
      <c r="F415" s="5" t="str">
        <f>IF(Dmart_sales_data[[#This Row],[sales]]&gt;3000,"High Sales",IF(Dmart_sales_data[[#This Row],[sales]]&gt;1000,"Medium Sales","Low Sales"))</f>
        <v>Medium Sales</v>
      </c>
      <c r="G415" s="10">
        <v>0.37</v>
      </c>
      <c r="H415" s="10">
        <v>2</v>
      </c>
      <c r="I415" s="11">
        <v>45181</v>
      </c>
      <c r="J415" s="11">
        <v>45184</v>
      </c>
      <c r="K415" s="10" t="s">
        <v>32</v>
      </c>
      <c r="L415" s="10" t="s">
        <v>32</v>
      </c>
      <c r="M415" s="10" t="s">
        <v>21</v>
      </c>
      <c r="N415" s="10">
        <v>369.36</v>
      </c>
      <c r="O415" s="27" t="s">
        <v>27</v>
      </c>
      <c r="P415" s="12" t="s">
        <v>39</v>
      </c>
      <c r="Q415" s="55" t="str">
        <f>IF(AND(Dmart_sales_data[[#This Row],[customer_type2]]="Member",OR(Dmart_sales_data[[#This Row],[payment_mode]]="UPI",Dmart_sales_data[[#This Row],[payment_mode]]="Card")),"yes","No")</f>
        <v>No</v>
      </c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</row>
    <row r="416" spans="1:28" ht="14.25" customHeight="1" x14ac:dyDescent="0.3">
      <c r="A416" s="13" t="s">
        <v>458</v>
      </c>
      <c r="B416" s="14" t="s">
        <v>24</v>
      </c>
      <c r="C416" s="14" t="s">
        <v>24</v>
      </c>
      <c r="D416" s="15" t="s">
        <v>34</v>
      </c>
      <c r="E416" s="15">
        <v>4434.3900000000003</v>
      </c>
      <c r="F416" s="5" t="str">
        <f>IF(Dmart_sales_data[[#This Row],[sales]]&gt;3000,"High Sales",IF(Dmart_sales_data[[#This Row],[sales]]&gt;1000,"Medium Sales","Low Sales"))</f>
        <v>High Sales</v>
      </c>
      <c r="G416" s="15">
        <v>0.18</v>
      </c>
      <c r="H416" s="15">
        <v>1</v>
      </c>
      <c r="I416" s="16">
        <v>45290</v>
      </c>
      <c r="J416" s="16">
        <v>45296</v>
      </c>
      <c r="K416" s="15" t="s">
        <v>32</v>
      </c>
      <c r="L416" s="15" t="s">
        <v>32</v>
      </c>
      <c r="M416" s="15" t="s">
        <v>21</v>
      </c>
      <c r="N416" s="15">
        <v>1318.47</v>
      </c>
      <c r="O416" s="27" t="s">
        <v>27</v>
      </c>
      <c r="P416" s="17" t="s">
        <v>48</v>
      </c>
      <c r="Q416" s="55" t="str">
        <f>IF(AND(Dmart_sales_data[[#This Row],[customer_type2]]="Member",OR(Dmart_sales_data[[#This Row],[payment_mode]]="UPI",Dmart_sales_data[[#This Row],[payment_mode]]="Card")),"yes","No")</f>
        <v>No</v>
      </c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</row>
    <row r="417" spans="1:28" ht="14.25" customHeight="1" x14ac:dyDescent="0.3">
      <c r="A417" s="8" t="s">
        <v>459</v>
      </c>
      <c r="B417" s="9" t="s">
        <v>29</v>
      </c>
      <c r="C417" s="9" t="s">
        <v>29</v>
      </c>
      <c r="D417" s="10" t="s">
        <v>19</v>
      </c>
      <c r="E417" s="10">
        <v>3893.24</v>
      </c>
      <c r="F417" s="5" t="str">
        <f>IF(Dmart_sales_data[[#This Row],[sales]]&gt;3000,"High Sales",IF(Dmart_sales_data[[#This Row],[sales]]&gt;1000,"Medium Sales","Low Sales"))</f>
        <v>High Sales</v>
      </c>
      <c r="G417" s="10">
        <v>0.1</v>
      </c>
      <c r="H417" s="10">
        <v>9</v>
      </c>
      <c r="I417" s="11">
        <v>45260</v>
      </c>
      <c r="J417" s="11">
        <v>45262</v>
      </c>
      <c r="K417" s="10" t="s">
        <v>20</v>
      </c>
      <c r="L417" s="10" t="s">
        <v>20</v>
      </c>
      <c r="M417" s="10" t="s">
        <v>16</v>
      </c>
      <c r="N417" s="10">
        <v>954.08</v>
      </c>
      <c r="O417" s="27" t="s">
        <v>41</v>
      </c>
      <c r="P417" s="12" t="s">
        <v>68</v>
      </c>
      <c r="Q417" s="55" t="str">
        <f>IF(AND(Dmart_sales_data[[#This Row],[customer_type2]]="Member",OR(Dmart_sales_data[[#This Row],[payment_mode]]="UPI",Dmart_sales_data[[#This Row],[payment_mode]]="Card")),"yes","No")</f>
        <v>No</v>
      </c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</row>
    <row r="418" spans="1:28" ht="14.25" customHeight="1" x14ac:dyDescent="0.3">
      <c r="A418" s="13" t="s">
        <v>460</v>
      </c>
      <c r="B418" s="14" t="s">
        <v>13</v>
      </c>
      <c r="C418" s="4" t="s">
        <v>13</v>
      </c>
      <c r="D418" s="15" t="s">
        <v>34</v>
      </c>
      <c r="E418" s="15">
        <v>465.41</v>
      </c>
      <c r="F418" s="5" t="str">
        <f>IF(Dmart_sales_data[[#This Row],[sales]]&gt;3000,"High Sales",IF(Dmart_sales_data[[#This Row],[sales]]&gt;1000,"Medium Sales","Low Sales"))</f>
        <v>Low Sales</v>
      </c>
      <c r="G418" s="15">
        <v>0.42</v>
      </c>
      <c r="H418" s="15">
        <v>2</v>
      </c>
      <c r="I418" s="16">
        <v>45471</v>
      </c>
      <c r="J418" s="16">
        <v>45476</v>
      </c>
      <c r="K418" s="15" t="s">
        <v>32</v>
      </c>
      <c r="L418" s="15" t="s">
        <v>32</v>
      </c>
      <c r="M418" s="15" t="s">
        <v>21</v>
      </c>
      <c r="N418" s="15">
        <v>124.67</v>
      </c>
      <c r="O418" s="27" t="s">
        <v>17</v>
      </c>
      <c r="P418" s="17" t="s">
        <v>52</v>
      </c>
      <c r="Q418" s="55" t="str">
        <f>IF(AND(Dmart_sales_data[[#This Row],[customer_type2]]="Member",OR(Dmart_sales_data[[#This Row],[payment_mode]]="UPI",Dmart_sales_data[[#This Row],[payment_mode]]="Card")),"yes","No")</f>
        <v>No</v>
      </c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</row>
    <row r="419" spans="1:28" ht="14.25" customHeight="1" x14ac:dyDescent="0.3">
      <c r="A419" s="8" t="s">
        <v>461</v>
      </c>
      <c r="B419" s="9" t="s">
        <v>576</v>
      </c>
      <c r="C419" s="9" t="s">
        <v>576</v>
      </c>
      <c r="D419" s="10" t="s">
        <v>25</v>
      </c>
      <c r="E419" s="10">
        <v>4180.0600000000004</v>
      </c>
      <c r="F419" s="5" t="str">
        <f>IF(Dmart_sales_data[[#This Row],[sales]]&gt;3000,"High Sales",IF(Dmart_sales_data[[#This Row],[sales]]&gt;1000,"Medium Sales","Low Sales"))</f>
        <v>High Sales</v>
      </c>
      <c r="G419" s="10">
        <v>0.03</v>
      </c>
      <c r="H419" s="10">
        <v>7</v>
      </c>
      <c r="I419" s="11">
        <v>44932</v>
      </c>
      <c r="J419" s="11">
        <v>44937</v>
      </c>
      <c r="K419" s="10" t="s">
        <v>20</v>
      </c>
      <c r="L419" s="10" t="s">
        <v>20</v>
      </c>
      <c r="M419" s="10" t="s">
        <v>21</v>
      </c>
      <c r="N419" s="10">
        <v>1157.1600000000001</v>
      </c>
      <c r="O419" s="27" t="s">
        <v>35</v>
      </c>
      <c r="P419" s="12" t="s">
        <v>35</v>
      </c>
      <c r="Q419" s="55" t="str">
        <f>IF(AND(Dmart_sales_data[[#This Row],[customer_type2]]="Member",OR(Dmart_sales_data[[#This Row],[payment_mode]]="UPI",Dmart_sales_data[[#This Row],[payment_mode]]="Card")),"yes","No")</f>
        <v>No</v>
      </c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</row>
    <row r="420" spans="1:28" ht="14.25" customHeight="1" x14ac:dyDescent="0.3">
      <c r="A420" s="13" t="s">
        <v>462</v>
      </c>
      <c r="B420" s="14" t="s">
        <v>24</v>
      </c>
      <c r="C420" s="14" t="s">
        <v>24</v>
      </c>
      <c r="D420" s="15" t="s">
        <v>25</v>
      </c>
      <c r="E420" s="15">
        <v>280.57</v>
      </c>
      <c r="F420" s="5" t="str">
        <f>IF(Dmart_sales_data[[#This Row],[sales]]&gt;3000,"High Sales",IF(Dmart_sales_data[[#This Row],[sales]]&gt;1000,"Medium Sales","Low Sales"))</f>
        <v>Low Sales</v>
      </c>
      <c r="G420" s="15">
        <v>0.4</v>
      </c>
      <c r="H420" s="15">
        <v>7</v>
      </c>
      <c r="I420" s="16">
        <v>45520</v>
      </c>
      <c r="J420" s="16">
        <v>45527</v>
      </c>
      <c r="K420" s="15" t="s">
        <v>20</v>
      </c>
      <c r="L420" s="15" t="s">
        <v>20</v>
      </c>
      <c r="M420" s="15" t="s">
        <v>26</v>
      </c>
      <c r="N420" s="15">
        <v>66.28</v>
      </c>
      <c r="O420" s="27" t="s">
        <v>100</v>
      </c>
      <c r="P420" s="17" t="s">
        <v>63</v>
      </c>
      <c r="Q420" s="55" t="str">
        <f>IF(AND(Dmart_sales_data[[#This Row],[customer_type2]]="Member",OR(Dmart_sales_data[[#This Row],[payment_mode]]="UPI",Dmart_sales_data[[#This Row],[payment_mode]]="Card")),"yes","No")</f>
        <v>No</v>
      </c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</row>
    <row r="421" spans="1:28" ht="14.25" customHeight="1" x14ac:dyDescent="0.3">
      <c r="A421" s="8" t="s">
        <v>463</v>
      </c>
      <c r="B421" s="9" t="s">
        <v>29</v>
      </c>
      <c r="C421" s="9" t="s">
        <v>29</v>
      </c>
      <c r="D421" s="10" t="s">
        <v>37</v>
      </c>
      <c r="E421" s="10">
        <v>1340.68</v>
      </c>
      <c r="F421" s="5" t="str">
        <f>IF(Dmart_sales_data[[#This Row],[sales]]&gt;3000,"High Sales",IF(Dmart_sales_data[[#This Row],[sales]]&gt;1000,"Medium Sales","Low Sales"))</f>
        <v>Medium Sales</v>
      </c>
      <c r="G421" s="10">
        <v>0.05</v>
      </c>
      <c r="H421" s="10">
        <v>1</v>
      </c>
      <c r="I421" s="11">
        <v>45060</v>
      </c>
      <c r="J421" s="11">
        <v>45061</v>
      </c>
      <c r="K421" s="10" t="s">
        <v>20</v>
      </c>
      <c r="L421" s="10" t="s">
        <v>20</v>
      </c>
      <c r="M421" s="10" t="s">
        <v>21</v>
      </c>
      <c r="N421" s="10">
        <v>256.22000000000003</v>
      </c>
      <c r="O421" s="27" t="s">
        <v>17</v>
      </c>
      <c r="P421" s="12" t="s">
        <v>52</v>
      </c>
      <c r="Q421" s="55" t="str">
        <f>IF(AND(Dmart_sales_data[[#This Row],[customer_type2]]="Member",OR(Dmart_sales_data[[#This Row],[payment_mode]]="UPI",Dmart_sales_data[[#This Row],[payment_mode]]="Card")),"yes","No")</f>
        <v>No</v>
      </c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</row>
    <row r="422" spans="1:28" ht="14.25" customHeight="1" x14ac:dyDescent="0.3">
      <c r="A422" s="13" t="s">
        <v>464</v>
      </c>
      <c r="B422" s="14" t="s">
        <v>13</v>
      </c>
      <c r="C422" s="4" t="s">
        <v>13</v>
      </c>
      <c r="D422" s="15" t="s">
        <v>19</v>
      </c>
      <c r="E422" s="15">
        <v>4603.0600000000004</v>
      </c>
      <c r="F422" s="5" t="str">
        <f>IF(Dmart_sales_data[[#This Row],[sales]]&gt;3000,"High Sales",IF(Dmart_sales_data[[#This Row],[sales]]&gt;1000,"Medium Sales","Low Sales"))</f>
        <v>High Sales</v>
      </c>
      <c r="G422" s="15">
        <v>0.31</v>
      </c>
      <c r="H422" s="15">
        <v>1</v>
      </c>
      <c r="I422" s="16">
        <v>45489</v>
      </c>
      <c r="J422" s="16">
        <v>45490</v>
      </c>
      <c r="K422" s="15" t="s">
        <v>15</v>
      </c>
      <c r="L422" s="15" t="s">
        <v>15</v>
      </c>
      <c r="M422" s="15" t="s">
        <v>16</v>
      </c>
      <c r="N422" s="15">
        <v>517.95000000000005</v>
      </c>
      <c r="O422" s="27" t="s">
        <v>100</v>
      </c>
      <c r="P422" s="17" t="s">
        <v>63</v>
      </c>
      <c r="Q422" s="55" t="str">
        <f>IF(AND(Dmart_sales_data[[#This Row],[customer_type2]]="Member",OR(Dmart_sales_data[[#This Row],[payment_mode]]="UPI",Dmart_sales_data[[#This Row],[payment_mode]]="Card")),"yes","No")</f>
        <v>yes</v>
      </c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</row>
    <row r="423" spans="1:28" ht="14.25" customHeight="1" x14ac:dyDescent="0.3">
      <c r="A423" s="8" t="s">
        <v>465</v>
      </c>
      <c r="B423" s="9" t="s">
        <v>576</v>
      </c>
      <c r="C423" s="9" t="s">
        <v>576</v>
      </c>
      <c r="D423" s="10" t="s">
        <v>14</v>
      </c>
      <c r="E423" s="10">
        <v>4335.22</v>
      </c>
      <c r="F423" s="5" t="str">
        <f>IF(Dmart_sales_data[[#This Row],[sales]]&gt;3000,"High Sales",IF(Dmart_sales_data[[#This Row],[sales]]&gt;1000,"Medium Sales","Low Sales"))</f>
        <v>High Sales</v>
      </c>
      <c r="G423" s="10">
        <v>0.24</v>
      </c>
      <c r="H423" s="10">
        <v>7</v>
      </c>
      <c r="I423" s="11">
        <v>45148</v>
      </c>
      <c r="J423" s="11">
        <v>45151</v>
      </c>
      <c r="K423" s="10" t="s">
        <v>15</v>
      </c>
      <c r="L423" s="10" t="s">
        <v>15</v>
      </c>
      <c r="M423" s="10" t="s">
        <v>26</v>
      </c>
      <c r="N423" s="10">
        <v>1006.56</v>
      </c>
      <c r="O423" s="27" t="s">
        <v>79</v>
      </c>
      <c r="P423" s="12" t="s">
        <v>79</v>
      </c>
      <c r="Q423" s="55" t="str">
        <f>IF(AND(Dmart_sales_data[[#This Row],[customer_type2]]="Member",OR(Dmart_sales_data[[#This Row],[payment_mode]]="UPI",Dmart_sales_data[[#This Row],[payment_mode]]="Card")),"yes","No")</f>
        <v>No</v>
      </c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</row>
    <row r="424" spans="1:28" ht="14.25" customHeight="1" x14ac:dyDescent="0.3">
      <c r="A424" s="13" t="s">
        <v>466</v>
      </c>
      <c r="B424" s="14" t="s">
        <v>24</v>
      </c>
      <c r="C424" s="14" t="s">
        <v>24</v>
      </c>
      <c r="D424" s="15" t="s">
        <v>19</v>
      </c>
      <c r="E424" s="15">
        <v>3929.03</v>
      </c>
      <c r="F424" s="5" t="str">
        <f>IF(Dmart_sales_data[[#This Row],[sales]]&gt;3000,"High Sales",IF(Dmart_sales_data[[#This Row],[sales]]&gt;1000,"Medium Sales","Low Sales"))</f>
        <v>High Sales</v>
      </c>
      <c r="G424" s="15">
        <v>0.5</v>
      </c>
      <c r="H424" s="15">
        <v>6</v>
      </c>
      <c r="I424" s="16">
        <v>45194</v>
      </c>
      <c r="J424" s="16">
        <v>45196</v>
      </c>
      <c r="K424" s="15" t="s">
        <v>20</v>
      </c>
      <c r="L424" s="15" t="s">
        <v>20</v>
      </c>
      <c r="M424" s="15" t="s">
        <v>21</v>
      </c>
      <c r="N424" s="15">
        <v>689.37</v>
      </c>
      <c r="O424" s="27" t="s">
        <v>100</v>
      </c>
      <c r="P424" s="17" t="s">
        <v>63</v>
      </c>
      <c r="Q424" s="55" t="str">
        <f>IF(AND(Dmart_sales_data[[#This Row],[customer_type2]]="Member",OR(Dmart_sales_data[[#This Row],[payment_mode]]="UPI",Dmart_sales_data[[#This Row],[payment_mode]]="Card")),"yes","No")</f>
        <v>No</v>
      </c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</row>
    <row r="425" spans="1:28" ht="14.25" customHeight="1" x14ac:dyDescent="0.3">
      <c r="A425" s="8" t="s">
        <v>467</v>
      </c>
      <c r="B425" s="9" t="s">
        <v>29</v>
      </c>
      <c r="C425" s="9" t="s">
        <v>29</v>
      </c>
      <c r="D425" s="10" t="s">
        <v>34</v>
      </c>
      <c r="E425" s="10">
        <v>2341.98</v>
      </c>
      <c r="F425" s="5" t="str">
        <f>IF(Dmart_sales_data[[#This Row],[sales]]&gt;3000,"High Sales",IF(Dmart_sales_data[[#This Row],[sales]]&gt;1000,"Medium Sales","Low Sales"))</f>
        <v>Medium Sales</v>
      </c>
      <c r="G425" s="10">
        <v>0.19</v>
      </c>
      <c r="H425" s="10">
        <v>4</v>
      </c>
      <c r="I425" s="11">
        <v>45641</v>
      </c>
      <c r="J425" s="11">
        <v>45642</v>
      </c>
      <c r="K425" s="10" t="s">
        <v>15</v>
      </c>
      <c r="L425" s="10" t="s">
        <v>15</v>
      </c>
      <c r="M425" s="10" t="s">
        <v>16</v>
      </c>
      <c r="N425" s="10">
        <v>654.1</v>
      </c>
      <c r="O425" s="27" t="s">
        <v>17</v>
      </c>
      <c r="P425" s="12" t="s">
        <v>17</v>
      </c>
      <c r="Q425" s="55" t="str">
        <f>IF(AND(Dmart_sales_data[[#This Row],[customer_type2]]="Member",OR(Dmart_sales_data[[#This Row],[payment_mode]]="UPI",Dmart_sales_data[[#This Row],[payment_mode]]="Card")),"yes","No")</f>
        <v>yes</v>
      </c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</row>
    <row r="426" spans="1:28" ht="14.25" customHeight="1" x14ac:dyDescent="0.3">
      <c r="A426" s="13" t="s">
        <v>468</v>
      </c>
      <c r="B426" s="14" t="s">
        <v>13</v>
      </c>
      <c r="C426" s="4" t="s">
        <v>13</v>
      </c>
      <c r="D426" s="15" t="s">
        <v>25</v>
      </c>
      <c r="E426" s="15">
        <v>1674.93</v>
      </c>
      <c r="F426" s="5" t="str">
        <f>IF(Dmart_sales_data[[#This Row],[sales]]&gt;3000,"High Sales",IF(Dmart_sales_data[[#This Row],[sales]]&gt;1000,"Medium Sales","Low Sales"))</f>
        <v>Medium Sales</v>
      </c>
      <c r="G426" s="15">
        <v>0.48</v>
      </c>
      <c r="H426" s="15">
        <v>3</v>
      </c>
      <c r="I426" s="16">
        <v>45560</v>
      </c>
      <c r="J426" s="16">
        <v>45565</v>
      </c>
      <c r="K426" s="15" t="s">
        <v>32</v>
      </c>
      <c r="L426" s="15" t="s">
        <v>32</v>
      </c>
      <c r="M426" s="15" t="s">
        <v>26</v>
      </c>
      <c r="N426" s="15">
        <v>84.32</v>
      </c>
      <c r="O426" s="27" t="s">
        <v>35</v>
      </c>
      <c r="P426" s="17" t="s">
        <v>35</v>
      </c>
      <c r="Q426" s="55" t="str">
        <f>IF(AND(Dmart_sales_data[[#This Row],[customer_type2]]="Member",OR(Dmart_sales_data[[#This Row],[payment_mode]]="UPI",Dmart_sales_data[[#This Row],[payment_mode]]="Card")),"yes","No")</f>
        <v>No</v>
      </c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</row>
    <row r="427" spans="1:28" ht="14.25" customHeight="1" x14ac:dyDescent="0.3">
      <c r="A427" s="8" t="s">
        <v>469</v>
      </c>
      <c r="B427" s="9" t="s">
        <v>576</v>
      </c>
      <c r="C427" s="9" t="s">
        <v>576</v>
      </c>
      <c r="D427" s="10" t="s">
        <v>34</v>
      </c>
      <c r="E427" s="10">
        <v>4419.57</v>
      </c>
      <c r="F427" s="5" t="str">
        <f>IF(Dmart_sales_data[[#This Row],[sales]]&gt;3000,"High Sales",IF(Dmart_sales_data[[#This Row],[sales]]&gt;1000,"Medium Sales","Low Sales"))</f>
        <v>High Sales</v>
      </c>
      <c r="G427" s="10">
        <v>0.2</v>
      </c>
      <c r="H427" s="10">
        <v>5</v>
      </c>
      <c r="I427" s="11">
        <v>45058</v>
      </c>
      <c r="J427" s="11">
        <v>45060</v>
      </c>
      <c r="K427" s="10" t="s">
        <v>15</v>
      </c>
      <c r="L427" s="10" t="s">
        <v>15</v>
      </c>
      <c r="M427" s="10" t="s">
        <v>21</v>
      </c>
      <c r="N427" s="10">
        <v>1237.73</v>
      </c>
      <c r="O427" s="27" t="s">
        <v>100</v>
      </c>
      <c r="P427" s="12" t="s">
        <v>63</v>
      </c>
      <c r="Q427" s="55" t="str">
        <f>IF(AND(Dmart_sales_data[[#This Row],[customer_type2]]="Member",OR(Dmart_sales_data[[#This Row],[payment_mode]]="UPI",Dmart_sales_data[[#This Row],[payment_mode]]="Card")),"yes","No")</f>
        <v>yes</v>
      </c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</row>
    <row r="428" spans="1:28" ht="14.25" customHeight="1" x14ac:dyDescent="0.3">
      <c r="A428" s="13" t="s">
        <v>470</v>
      </c>
      <c r="B428" s="14" t="s">
        <v>24</v>
      </c>
      <c r="C428" s="14" t="s">
        <v>24</v>
      </c>
      <c r="D428" s="15" t="s">
        <v>37</v>
      </c>
      <c r="E428" s="15">
        <v>3319.66</v>
      </c>
      <c r="F428" s="5" t="str">
        <f>IF(Dmart_sales_data[[#This Row],[sales]]&gt;3000,"High Sales",IF(Dmart_sales_data[[#This Row],[sales]]&gt;1000,"Medium Sales","Low Sales"))</f>
        <v>High Sales</v>
      </c>
      <c r="G428" s="15">
        <v>0.34</v>
      </c>
      <c r="H428" s="15">
        <v>5</v>
      </c>
      <c r="I428" s="16">
        <v>44978</v>
      </c>
      <c r="J428" s="16">
        <v>44980</v>
      </c>
      <c r="K428" s="15" t="s">
        <v>32</v>
      </c>
      <c r="L428" s="15" t="s">
        <v>32</v>
      </c>
      <c r="M428" s="15" t="s">
        <v>21</v>
      </c>
      <c r="N428" s="15">
        <v>954.37</v>
      </c>
      <c r="O428" s="27" t="s">
        <v>79</v>
      </c>
      <c r="P428" s="17" t="s">
        <v>55</v>
      </c>
      <c r="Q428" s="55" t="str">
        <f>IF(AND(Dmart_sales_data[[#This Row],[customer_type2]]="Member",OR(Dmart_sales_data[[#This Row],[payment_mode]]="UPI",Dmart_sales_data[[#This Row],[payment_mode]]="Card")),"yes","No")</f>
        <v>No</v>
      </c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</row>
    <row r="429" spans="1:28" ht="14.25" customHeight="1" x14ac:dyDescent="0.3">
      <c r="A429" s="8" t="s">
        <v>471</v>
      </c>
      <c r="B429" s="9" t="s">
        <v>29</v>
      </c>
      <c r="C429" s="9" t="s">
        <v>29</v>
      </c>
      <c r="D429" s="10" t="s">
        <v>25</v>
      </c>
      <c r="E429" s="10">
        <v>1547.99</v>
      </c>
      <c r="F429" s="5" t="str">
        <f>IF(Dmart_sales_data[[#This Row],[sales]]&gt;3000,"High Sales",IF(Dmart_sales_data[[#This Row],[sales]]&gt;1000,"Medium Sales","Low Sales"))</f>
        <v>Medium Sales</v>
      </c>
      <c r="G429" s="10">
        <v>0.32</v>
      </c>
      <c r="H429" s="10">
        <v>3</v>
      </c>
      <c r="I429" s="11">
        <v>45181</v>
      </c>
      <c r="J429" s="11">
        <v>45184</v>
      </c>
      <c r="K429" s="10" t="s">
        <v>15</v>
      </c>
      <c r="L429" s="10" t="s">
        <v>15</v>
      </c>
      <c r="M429" s="10" t="s">
        <v>26</v>
      </c>
      <c r="N429" s="10">
        <v>162.33000000000001</v>
      </c>
      <c r="O429" s="27" t="s">
        <v>79</v>
      </c>
      <c r="P429" s="12" t="s">
        <v>22</v>
      </c>
      <c r="Q429" s="55" t="str">
        <f>IF(AND(Dmart_sales_data[[#This Row],[customer_type2]]="Member",OR(Dmart_sales_data[[#This Row],[payment_mode]]="UPI",Dmart_sales_data[[#This Row],[payment_mode]]="Card")),"yes","No")</f>
        <v>No</v>
      </c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</row>
    <row r="430" spans="1:28" ht="14.25" customHeight="1" x14ac:dyDescent="0.3">
      <c r="A430" s="13" t="s">
        <v>472</v>
      </c>
      <c r="B430" s="14" t="s">
        <v>13</v>
      </c>
      <c r="C430" s="4" t="s">
        <v>13</v>
      </c>
      <c r="D430" s="15" t="s">
        <v>14</v>
      </c>
      <c r="E430" s="15">
        <v>2369.66</v>
      </c>
      <c r="F430" s="5" t="str">
        <f>IF(Dmart_sales_data[[#This Row],[sales]]&gt;3000,"High Sales",IF(Dmart_sales_data[[#This Row],[sales]]&gt;1000,"Medium Sales","Low Sales"))</f>
        <v>Medium Sales</v>
      </c>
      <c r="G430" s="15">
        <v>0.04</v>
      </c>
      <c r="H430" s="15">
        <v>6</v>
      </c>
      <c r="I430" s="16">
        <v>45235</v>
      </c>
      <c r="J430" s="16">
        <v>45241</v>
      </c>
      <c r="K430" s="15" t="s">
        <v>20</v>
      </c>
      <c r="L430" s="15" t="s">
        <v>20</v>
      </c>
      <c r="M430" s="15" t="s">
        <v>16</v>
      </c>
      <c r="N430" s="15">
        <v>639.24</v>
      </c>
      <c r="O430" s="27" t="s">
        <v>79</v>
      </c>
      <c r="P430" s="17" t="s">
        <v>79</v>
      </c>
      <c r="Q430" s="55" t="str">
        <f>IF(AND(Dmart_sales_data[[#This Row],[customer_type2]]="Member",OR(Dmart_sales_data[[#This Row],[payment_mode]]="UPI",Dmart_sales_data[[#This Row],[payment_mode]]="Card")),"yes","No")</f>
        <v>No</v>
      </c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</row>
    <row r="431" spans="1:28" ht="14.25" customHeight="1" x14ac:dyDescent="0.3">
      <c r="A431" s="8" t="s">
        <v>473</v>
      </c>
      <c r="B431" s="9" t="s">
        <v>576</v>
      </c>
      <c r="C431" s="9" t="s">
        <v>576</v>
      </c>
      <c r="D431" s="10" t="s">
        <v>25</v>
      </c>
      <c r="E431" s="10">
        <v>4419.3500000000004</v>
      </c>
      <c r="F431" s="5" t="str">
        <f>IF(Dmart_sales_data[[#This Row],[sales]]&gt;3000,"High Sales",IF(Dmart_sales_data[[#This Row],[sales]]&gt;1000,"Medium Sales","Low Sales"))</f>
        <v>High Sales</v>
      </c>
      <c r="G431" s="10">
        <v>0.37</v>
      </c>
      <c r="H431" s="10">
        <v>3</v>
      </c>
      <c r="I431" s="11">
        <v>45275</v>
      </c>
      <c r="J431" s="11">
        <v>45276</v>
      </c>
      <c r="K431" s="10" t="s">
        <v>20</v>
      </c>
      <c r="L431" s="10" t="s">
        <v>20</v>
      </c>
      <c r="M431" s="10" t="s">
        <v>26</v>
      </c>
      <c r="N431" s="10">
        <v>872.99</v>
      </c>
      <c r="O431" s="27" t="s">
        <v>17</v>
      </c>
      <c r="P431" s="12" t="s">
        <v>52</v>
      </c>
      <c r="Q431" s="55" t="str">
        <f>IF(AND(Dmart_sales_data[[#This Row],[customer_type2]]="Member",OR(Dmart_sales_data[[#This Row],[payment_mode]]="UPI",Dmart_sales_data[[#This Row],[payment_mode]]="Card")),"yes","No")</f>
        <v>No</v>
      </c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</row>
    <row r="432" spans="1:28" ht="14.25" customHeight="1" x14ac:dyDescent="0.3">
      <c r="A432" s="13" t="s">
        <v>474</v>
      </c>
      <c r="B432" s="14" t="s">
        <v>24</v>
      </c>
      <c r="C432" s="14" t="s">
        <v>24</v>
      </c>
      <c r="D432" s="15" t="s">
        <v>19</v>
      </c>
      <c r="E432" s="15">
        <v>4526.93</v>
      </c>
      <c r="F432" s="5" t="str">
        <f>IF(Dmart_sales_data[[#This Row],[sales]]&gt;3000,"High Sales",IF(Dmart_sales_data[[#This Row],[sales]]&gt;1000,"Medium Sales","Low Sales"))</f>
        <v>High Sales</v>
      </c>
      <c r="G432" s="15">
        <v>0.1</v>
      </c>
      <c r="H432" s="15">
        <v>4</v>
      </c>
      <c r="I432" s="16">
        <v>45196</v>
      </c>
      <c r="J432" s="16">
        <v>45198</v>
      </c>
      <c r="K432" s="15" t="s">
        <v>15</v>
      </c>
      <c r="L432" s="15" t="s">
        <v>15</v>
      </c>
      <c r="M432" s="15" t="s">
        <v>26</v>
      </c>
      <c r="N432" s="15">
        <v>558.38</v>
      </c>
      <c r="O432" s="27" t="s">
        <v>27</v>
      </c>
      <c r="P432" s="17" t="s">
        <v>39</v>
      </c>
      <c r="Q432" s="55" t="str">
        <f>IF(AND(Dmart_sales_data[[#This Row],[customer_type2]]="Member",OR(Dmart_sales_data[[#This Row],[payment_mode]]="UPI",Dmart_sales_data[[#This Row],[payment_mode]]="Card")),"yes","No")</f>
        <v>No</v>
      </c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</row>
    <row r="433" spans="1:28" ht="14.25" customHeight="1" x14ac:dyDescent="0.3">
      <c r="A433" s="8" t="s">
        <v>475</v>
      </c>
      <c r="B433" s="9" t="s">
        <v>29</v>
      </c>
      <c r="C433" s="9" t="s">
        <v>29</v>
      </c>
      <c r="D433" s="10" t="s">
        <v>19</v>
      </c>
      <c r="E433" s="10">
        <v>3330.58</v>
      </c>
      <c r="F433" s="5" t="str">
        <f>IF(Dmart_sales_data[[#This Row],[sales]]&gt;3000,"High Sales",IF(Dmart_sales_data[[#This Row],[sales]]&gt;1000,"Medium Sales","Low Sales"))</f>
        <v>High Sales</v>
      </c>
      <c r="G433" s="10">
        <v>0.19</v>
      </c>
      <c r="H433" s="10">
        <v>3</v>
      </c>
      <c r="I433" s="11">
        <v>45331</v>
      </c>
      <c r="J433" s="11">
        <v>45334</v>
      </c>
      <c r="K433" s="10" t="s">
        <v>32</v>
      </c>
      <c r="L433" s="10" t="s">
        <v>32</v>
      </c>
      <c r="M433" s="10" t="s">
        <v>16</v>
      </c>
      <c r="N433" s="10">
        <v>728.97</v>
      </c>
      <c r="O433" s="27" t="s">
        <v>17</v>
      </c>
      <c r="P433" s="12" t="s">
        <v>95</v>
      </c>
      <c r="Q433" s="55" t="str">
        <f>IF(AND(Dmart_sales_data[[#This Row],[customer_type2]]="Member",OR(Dmart_sales_data[[#This Row],[payment_mode]]="UPI",Dmart_sales_data[[#This Row],[payment_mode]]="Card")),"yes","No")</f>
        <v>No</v>
      </c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</row>
    <row r="434" spans="1:28" ht="14.25" customHeight="1" x14ac:dyDescent="0.3">
      <c r="A434" s="13" t="s">
        <v>476</v>
      </c>
      <c r="B434" s="14" t="s">
        <v>13</v>
      </c>
      <c r="C434" s="4" t="s">
        <v>13</v>
      </c>
      <c r="D434" s="15" t="s">
        <v>25</v>
      </c>
      <c r="E434" s="15">
        <v>3689.52</v>
      </c>
      <c r="F434" s="5" t="str">
        <f>IF(Dmart_sales_data[[#This Row],[sales]]&gt;3000,"High Sales",IF(Dmart_sales_data[[#This Row],[sales]]&gt;1000,"Medium Sales","Low Sales"))</f>
        <v>High Sales</v>
      </c>
      <c r="G434" s="15">
        <v>0.39</v>
      </c>
      <c r="H434" s="15">
        <v>6</v>
      </c>
      <c r="I434" s="16">
        <v>45543</v>
      </c>
      <c r="J434" s="16">
        <v>45548</v>
      </c>
      <c r="K434" s="15" t="s">
        <v>32</v>
      </c>
      <c r="L434" s="15" t="s">
        <v>32</v>
      </c>
      <c r="M434" s="15" t="s">
        <v>16</v>
      </c>
      <c r="N434" s="15">
        <v>920.08</v>
      </c>
      <c r="O434" s="27" t="s">
        <v>41</v>
      </c>
      <c r="P434" s="17" t="s">
        <v>44</v>
      </c>
      <c r="Q434" s="55" t="str">
        <f>IF(AND(Dmart_sales_data[[#This Row],[customer_type2]]="Member",OR(Dmart_sales_data[[#This Row],[payment_mode]]="UPI",Dmart_sales_data[[#This Row],[payment_mode]]="Card")),"yes","No")</f>
        <v>No</v>
      </c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</row>
    <row r="435" spans="1:28" ht="14.25" customHeight="1" x14ac:dyDescent="0.3">
      <c r="A435" s="8" t="s">
        <v>477</v>
      </c>
      <c r="B435" s="9" t="s">
        <v>576</v>
      </c>
      <c r="C435" s="9" t="s">
        <v>576</v>
      </c>
      <c r="D435" s="10" t="s">
        <v>37</v>
      </c>
      <c r="E435" s="10">
        <v>292.56</v>
      </c>
      <c r="F435" s="5" t="str">
        <f>IF(Dmart_sales_data[[#This Row],[sales]]&gt;3000,"High Sales",IF(Dmart_sales_data[[#This Row],[sales]]&gt;1000,"Medium Sales","Low Sales"))</f>
        <v>Low Sales</v>
      </c>
      <c r="G435" s="10">
        <v>0.47</v>
      </c>
      <c r="H435" s="10">
        <v>9</v>
      </c>
      <c r="I435" s="11">
        <v>45085</v>
      </c>
      <c r="J435" s="11">
        <v>45088</v>
      </c>
      <c r="K435" s="10" t="s">
        <v>20</v>
      </c>
      <c r="L435" s="10" t="s">
        <v>20</v>
      </c>
      <c r="M435" s="10" t="s">
        <v>21</v>
      </c>
      <c r="N435" s="10">
        <v>45.46</v>
      </c>
      <c r="O435" s="27" t="s">
        <v>41</v>
      </c>
      <c r="P435" s="12" t="s">
        <v>44</v>
      </c>
      <c r="Q435" s="55" t="str">
        <f>IF(AND(Dmart_sales_data[[#This Row],[customer_type2]]="Member",OR(Dmart_sales_data[[#This Row],[payment_mode]]="UPI",Dmart_sales_data[[#This Row],[payment_mode]]="Card")),"yes","No")</f>
        <v>No</v>
      </c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</row>
    <row r="436" spans="1:28" ht="14.25" customHeight="1" x14ac:dyDescent="0.3">
      <c r="A436" s="13" t="s">
        <v>478</v>
      </c>
      <c r="B436" s="14" t="s">
        <v>24</v>
      </c>
      <c r="C436" s="14" t="s">
        <v>24</v>
      </c>
      <c r="D436" s="15" t="s">
        <v>19</v>
      </c>
      <c r="E436" s="15">
        <v>3062.54</v>
      </c>
      <c r="F436" s="5" t="str">
        <f>IF(Dmart_sales_data[[#This Row],[sales]]&gt;3000,"High Sales",IF(Dmart_sales_data[[#This Row],[sales]]&gt;1000,"Medium Sales","Low Sales"))</f>
        <v>High Sales</v>
      </c>
      <c r="G436" s="15">
        <v>0.28000000000000003</v>
      </c>
      <c r="H436" s="15">
        <v>3</v>
      </c>
      <c r="I436" s="16">
        <v>45095</v>
      </c>
      <c r="J436" s="16">
        <v>45102</v>
      </c>
      <c r="K436" s="15" t="s">
        <v>32</v>
      </c>
      <c r="L436" s="15" t="s">
        <v>32</v>
      </c>
      <c r="M436" s="15" t="s">
        <v>26</v>
      </c>
      <c r="N436" s="15">
        <v>628.74</v>
      </c>
      <c r="O436" s="27" t="s">
        <v>100</v>
      </c>
      <c r="P436" s="17" t="s">
        <v>65</v>
      </c>
      <c r="Q436" s="55" t="str">
        <f>IF(AND(Dmart_sales_data[[#This Row],[customer_type2]]="Member",OR(Dmart_sales_data[[#This Row],[payment_mode]]="UPI",Dmart_sales_data[[#This Row],[payment_mode]]="Card")),"yes","No")</f>
        <v>No</v>
      </c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</row>
    <row r="437" spans="1:28" ht="14.25" customHeight="1" x14ac:dyDescent="0.3">
      <c r="A437" s="8" t="s">
        <v>479</v>
      </c>
      <c r="B437" s="9" t="s">
        <v>29</v>
      </c>
      <c r="C437" s="9" t="s">
        <v>29</v>
      </c>
      <c r="D437" s="10" t="s">
        <v>19</v>
      </c>
      <c r="E437" s="10">
        <v>3476.06</v>
      </c>
      <c r="F437" s="5" t="str">
        <f>IF(Dmart_sales_data[[#This Row],[sales]]&gt;3000,"High Sales",IF(Dmart_sales_data[[#This Row],[sales]]&gt;1000,"Medium Sales","Low Sales"))</f>
        <v>High Sales</v>
      </c>
      <c r="G437" s="10">
        <v>0.26</v>
      </c>
      <c r="H437" s="10">
        <v>1</v>
      </c>
      <c r="I437" s="11">
        <v>45573</v>
      </c>
      <c r="J437" s="11">
        <v>45580</v>
      </c>
      <c r="K437" s="10" t="s">
        <v>20</v>
      </c>
      <c r="L437" s="10" t="s">
        <v>20</v>
      </c>
      <c r="M437" s="10" t="s">
        <v>21</v>
      </c>
      <c r="N437" s="10">
        <v>348.92</v>
      </c>
      <c r="O437" s="27" t="s">
        <v>100</v>
      </c>
      <c r="P437" s="12" t="s">
        <v>100</v>
      </c>
      <c r="Q437" s="55" t="str">
        <f>IF(AND(Dmart_sales_data[[#This Row],[customer_type2]]="Member",OR(Dmart_sales_data[[#This Row],[payment_mode]]="UPI",Dmart_sales_data[[#This Row],[payment_mode]]="Card")),"yes","No")</f>
        <v>No</v>
      </c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</row>
    <row r="438" spans="1:28" ht="14.25" customHeight="1" x14ac:dyDescent="0.3">
      <c r="A438" s="13" t="s">
        <v>480</v>
      </c>
      <c r="B438" s="14" t="s">
        <v>13</v>
      </c>
      <c r="C438" s="4" t="s">
        <v>13</v>
      </c>
      <c r="D438" s="15" t="s">
        <v>14</v>
      </c>
      <c r="E438" s="15">
        <v>199.85</v>
      </c>
      <c r="F438" s="5" t="str">
        <f>IF(Dmart_sales_data[[#This Row],[sales]]&gt;3000,"High Sales",IF(Dmart_sales_data[[#This Row],[sales]]&gt;1000,"Medium Sales","Low Sales"))</f>
        <v>Low Sales</v>
      </c>
      <c r="G438" s="15">
        <v>0.25</v>
      </c>
      <c r="H438" s="15">
        <v>7</v>
      </c>
      <c r="I438" s="16">
        <v>45499</v>
      </c>
      <c r="J438" s="16">
        <v>45506</v>
      </c>
      <c r="K438" s="15" t="s">
        <v>15</v>
      </c>
      <c r="L438" s="15" t="s">
        <v>15</v>
      </c>
      <c r="M438" s="15" t="s">
        <v>16</v>
      </c>
      <c r="N438" s="15">
        <v>11.62</v>
      </c>
      <c r="O438" s="27" t="s">
        <v>27</v>
      </c>
      <c r="P438" s="17" t="s">
        <v>39</v>
      </c>
      <c r="Q438" s="55" t="str">
        <f>IF(AND(Dmart_sales_data[[#This Row],[customer_type2]]="Member",OR(Dmart_sales_data[[#This Row],[payment_mode]]="UPI",Dmart_sales_data[[#This Row],[payment_mode]]="Card")),"yes","No")</f>
        <v>yes</v>
      </c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</row>
    <row r="439" spans="1:28" ht="14.25" customHeight="1" x14ac:dyDescent="0.3">
      <c r="A439" s="8" t="s">
        <v>481</v>
      </c>
      <c r="B439" s="9" t="s">
        <v>576</v>
      </c>
      <c r="C439" s="9" t="s">
        <v>576</v>
      </c>
      <c r="D439" s="10" t="s">
        <v>25</v>
      </c>
      <c r="E439" s="10">
        <v>4234.91</v>
      </c>
      <c r="F439" s="5" t="str">
        <f>IF(Dmart_sales_data[[#This Row],[sales]]&gt;3000,"High Sales",IF(Dmart_sales_data[[#This Row],[sales]]&gt;1000,"Medium Sales","Low Sales"))</f>
        <v>High Sales</v>
      </c>
      <c r="G439" s="10">
        <v>0.41</v>
      </c>
      <c r="H439" s="10">
        <v>5</v>
      </c>
      <c r="I439" s="11">
        <v>45197</v>
      </c>
      <c r="J439" s="11">
        <v>45200</v>
      </c>
      <c r="K439" s="10" t="s">
        <v>15</v>
      </c>
      <c r="L439" s="10" t="s">
        <v>15</v>
      </c>
      <c r="M439" s="10" t="s">
        <v>26</v>
      </c>
      <c r="N439" s="10">
        <v>1202.19</v>
      </c>
      <c r="O439" s="27" t="s">
        <v>79</v>
      </c>
      <c r="P439" s="12" t="s">
        <v>79</v>
      </c>
      <c r="Q439" s="55" t="str">
        <f>IF(AND(Dmart_sales_data[[#This Row],[customer_type2]]="Member",OR(Dmart_sales_data[[#This Row],[payment_mode]]="UPI",Dmart_sales_data[[#This Row],[payment_mode]]="Card")),"yes","No")</f>
        <v>No</v>
      </c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</row>
    <row r="440" spans="1:28" ht="14.25" customHeight="1" x14ac:dyDescent="0.3">
      <c r="A440" s="13" t="s">
        <v>482</v>
      </c>
      <c r="B440" s="14" t="s">
        <v>24</v>
      </c>
      <c r="C440" s="14" t="s">
        <v>24</v>
      </c>
      <c r="D440" s="15" t="s">
        <v>19</v>
      </c>
      <c r="E440" s="15">
        <v>4648.6000000000004</v>
      </c>
      <c r="F440" s="5" t="str">
        <f>IF(Dmart_sales_data[[#This Row],[sales]]&gt;3000,"High Sales",IF(Dmart_sales_data[[#This Row],[sales]]&gt;1000,"Medium Sales","Low Sales"))</f>
        <v>High Sales</v>
      </c>
      <c r="G440" s="15">
        <v>0.5</v>
      </c>
      <c r="H440" s="15">
        <v>4</v>
      </c>
      <c r="I440" s="16">
        <v>45544</v>
      </c>
      <c r="J440" s="16">
        <v>45550</v>
      </c>
      <c r="K440" s="15" t="s">
        <v>15</v>
      </c>
      <c r="L440" s="15" t="s">
        <v>15</v>
      </c>
      <c r="M440" s="15" t="s">
        <v>26</v>
      </c>
      <c r="N440" s="15">
        <v>411.68</v>
      </c>
      <c r="O440" s="27" t="s">
        <v>100</v>
      </c>
      <c r="P440" s="17" t="s">
        <v>100</v>
      </c>
      <c r="Q440" s="55" t="str">
        <f>IF(AND(Dmart_sales_data[[#This Row],[customer_type2]]="Member",OR(Dmart_sales_data[[#This Row],[payment_mode]]="UPI",Dmart_sales_data[[#This Row],[payment_mode]]="Card")),"yes","No")</f>
        <v>No</v>
      </c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</row>
    <row r="441" spans="1:28" ht="14.25" customHeight="1" x14ac:dyDescent="0.3">
      <c r="A441" s="8" t="s">
        <v>483</v>
      </c>
      <c r="B441" s="9" t="s">
        <v>29</v>
      </c>
      <c r="C441" s="9" t="s">
        <v>29</v>
      </c>
      <c r="D441" s="10" t="s">
        <v>37</v>
      </c>
      <c r="E441" s="10">
        <v>1265.8900000000001</v>
      </c>
      <c r="F441" s="5" t="str">
        <f>IF(Dmart_sales_data[[#This Row],[sales]]&gt;3000,"High Sales",IF(Dmart_sales_data[[#This Row],[sales]]&gt;1000,"Medium Sales","Low Sales"))</f>
        <v>Medium Sales</v>
      </c>
      <c r="G441" s="10">
        <v>0.32</v>
      </c>
      <c r="H441" s="10">
        <v>3</v>
      </c>
      <c r="I441" s="11">
        <v>45403</v>
      </c>
      <c r="J441" s="11">
        <v>45410</v>
      </c>
      <c r="K441" s="10" t="s">
        <v>20</v>
      </c>
      <c r="L441" s="10" t="s">
        <v>20</v>
      </c>
      <c r="M441" s="10" t="s">
        <v>26</v>
      </c>
      <c r="N441" s="10">
        <v>225.89</v>
      </c>
      <c r="O441" s="27" t="s">
        <v>41</v>
      </c>
      <c r="P441" s="12" t="s">
        <v>41</v>
      </c>
      <c r="Q441" s="55" t="str">
        <f>IF(AND(Dmart_sales_data[[#This Row],[customer_type2]]="Member",OR(Dmart_sales_data[[#This Row],[payment_mode]]="UPI",Dmart_sales_data[[#This Row],[payment_mode]]="Card")),"yes","No")</f>
        <v>No</v>
      </c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</row>
    <row r="442" spans="1:28" ht="14.25" customHeight="1" x14ac:dyDescent="0.3">
      <c r="A442" s="13" t="s">
        <v>484</v>
      </c>
      <c r="B442" s="14" t="s">
        <v>13</v>
      </c>
      <c r="C442" s="4" t="s">
        <v>13</v>
      </c>
      <c r="D442" s="15" t="s">
        <v>34</v>
      </c>
      <c r="E442" s="15">
        <v>4244.3999999999996</v>
      </c>
      <c r="F442" s="5" t="str">
        <f>IF(Dmart_sales_data[[#This Row],[sales]]&gt;3000,"High Sales",IF(Dmart_sales_data[[#This Row],[sales]]&gt;1000,"Medium Sales","Low Sales"))</f>
        <v>High Sales</v>
      </c>
      <c r="G442" s="15">
        <v>0.19</v>
      </c>
      <c r="H442" s="15">
        <v>7</v>
      </c>
      <c r="I442" s="16">
        <v>45325</v>
      </c>
      <c r="J442" s="16">
        <v>45328</v>
      </c>
      <c r="K442" s="15" t="s">
        <v>15</v>
      </c>
      <c r="L442" s="15" t="s">
        <v>15</v>
      </c>
      <c r="M442" s="15" t="s">
        <v>16</v>
      </c>
      <c r="N442" s="15">
        <v>302.62</v>
      </c>
      <c r="O442" s="27" t="s">
        <v>41</v>
      </c>
      <c r="P442" s="17" t="s">
        <v>68</v>
      </c>
      <c r="Q442" s="55" t="str">
        <f>IF(AND(Dmart_sales_data[[#This Row],[customer_type2]]="Member",OR(Dmart_sales_data[[#This Row],[payment_mode]]="UPI",Dmart_sales_data[[#This Row],[payment_mode]]="Card")),"yes","No")</f>
        <v>yes</v>
      </c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</row>
    <row r="443" spans="1:28" ht="14.25" customHeight="1" x14ac:dyDescent="0.3">
      <c r="A443" s="8" t="s">
        <v>485</v>
      </c>
      <c r="B443" s="9" t="s">
        <v>576</v>
      </c>
      <c r="C443" s="9" t="s">
        <v>576</v>
      </c>
      <c r="D443" s="10" t="s">
        <v>25</v>
      </c>
      <c r="E443" s="10">
        <v>3361.01</v>
      </c>
      <c r="F443" s="5" t="str">
        <f>IF(Dmart_sales_data[[#This Row],[sales]]&gt;3000,"High Sales",IF(Dmart_sales_data[[#This Row],[sales]]&gt;1000,"Medium Sales","Low Sales"))</f>
        <v>High Sales</v>
      </c>
      <c r="G443" s="10">
        <v>0.11</v>
      </c>
      <c r="H443" s="10">
        <v>2</v>
      </c>
      <c r="I443" s="11">
        <v>45267</v>
      </c>
      <c r="J443" s="11">
        <v>45274</v>
      </c>
      <c r="K443" s="10" t="s">
        <v>32</v>
      </c>
      <c r="L443" s="10" t="s">
        <v>32</v>
      </c>
      <c r="M443" s="10" t="s">
        <v>16</v>
      </c>
      <c r="N443" s="10">
        <v>887.13</v>
      </c>
      <c r="O443" s="27" t="s">
        <v>100</v>
      </c>
      <c r="P443" s="12" t="s">
        <v>100</v>
      </c>
      <c r="Q443" s="55" t="str">
        <f>IF(AND(Dmart_sales_data[[#This Row],[customer_type2]]="Member",OR(Dmart_sales_data[[#This Row],[payment_mode]]="UPI",Dmart_sales_data[[#This Row],[payment_mode]]="Card")),"yes","No")</f>
        <v>No</v>
      </c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</row>
    <row r="444" spans="1:28" ht="14.25" customHeight="1" x14ac:dyDescent="0.3">
      <c r="A444" s="13" t="s">
        <v>486</v>
      </c>
      <c r="B444" s="14" t="s">
        <v>24</v>
      </c>
      <c r="C444" s="14" t="s">
        <v>24</v>
      </c>
      <c r="D444" s="15" t="s">
        <v>14</v>
      </c>
      <c r="E444" s="15">
        <v>2945.41</v>
      </c>
      <c r="F444" s="5" t="str">
        <f>IF(Dmart_sales_data[[#This Row],[sales]]&gt;3000,"High Sales",IF(Dmart_sales_data[[#This Row],[sales]]&gt;1000,"Medium Sales","Low Sales"))</f>
        <v>Medium Sales</v>
      </c>
      <c r="G444" s="15">
        <v>0.1</v>
      </c>
      <c r="H444" s="15">
        <v>4</v>
      </c>
      <c r="I444" s="16">
        <v>45543</v>
      </c>
      <c r="J444" s="16">
        <v>45544</v>
      </c>
      <c r="K444" s="15" t="s">
        <v>20</v>
      </c>
      <c r="L444" s="15" t="s">
        <v>20</v>
      </c>
      <c r="M444" s="15" t="s">
        <v>26</v>
      </c>
      <c r="N444" s="15">
        <v>715.35</v>
      </c>
      <c r="O444" s="27" t="s">
        <v>27</v>
      </c>
      <c r="P444" s="17" t="s">
        <v>48</v>
      </c>
      <c r="Q444" s="55" t="str">
        <f>IF(AND(Dmart_sales_data[[#This Row],[customer_type2]]="Member",OR(Dmart_sales_data[[#This Row],[payment_mode]]="UPI",Dmart_sales_data[[#This Row],[payment_mode]]="Card")),"yes","No")</f>
        <v>No</v>
      </c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</row>
    <row r="445" spans="1:28" ht="14.25" customHeight="1" x14ac:dyDescent="0.3">
      <c r="A445" s="8" t="s">
        <v>487</v>
      </c>
      <c r="B445" s="9" t="s">
        <v>29</v>
      </c>
      <c r="C445" s="9" t="s">
        <v>29</v>
      </c>
      <c r="D445" s="10" t="s">
        <v>19</v>
      </c>
      <c r="E445" s="10">
        <v>4231.32</v>
      </c>
      <c r="F445" s="5" t="str">
        <f>IF(Dmart_sales_data[[#This Row],[sales]]&gt;3000,"High Sales",IF(Dmart_sales_data[[#This Row],[sales]]&gt;1000,"Medium Sales","Low Sales"))</f>
        <v>High Sales</v>
      </c>
      <c r="G445" s="10">
        <v>0.43</v>
      </c>
      <c r="H445" s="10">
        <v>2</v>
      </c>
      <c r="I445" s="11">
        <v>45526</v>
      </c>
      <c r="J445" s="11">
        <v>45529</v>
      </c>
      <c r="K445" s="10" t="s">
        <v>32</v>
      </c>
      <c r="L445" s="10" t="s">
        <v>32</v>
      </c>
      <c r="M445" s="10" t="s">
        <v>26</v>
      </c>
      <c r="N445" s="10">
        <v>416.16</v>
      </c>
      <c r="O445" s="27" t="s">
        <v>17</v>
      </c>
      <c r="P445" s="12" t="s">
        <v>52</v>
      </c>
      <c r="Q445" s="55" t="str">
        <f>IF(AND(Dmart_sales_data[[#This Row],[customer_type2]]="Member",OR(Dmart_sales_data[[#This Row],[payment_mode]]="UPI",Dmart_sales_data[[#This Row],[payment_mode]]="Card")),"yes","No")</f>
        <v>No</v>
      </c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</row>
    <row r="446" spans="1:28" ht="14.25" customHeight="1" x14ac:dyDescent="0.3">
      <c r="A446" s="13" t="s">
        <v>488</v>
      </c>
      <c r="B446" s="14" t="s">
        <v>13</v>
      </c>
      <c r="C446" s="4" t="s">
        <v>13</v>
      </c>
      <c r="D446" s="15" t="s">
        <v>37</v>
      </c>
      <c r="E446" s="15">
        <v>1499.49</v>
      </c>
      <c r="F446" s="5" t="str">
        <f>IF(Dmart_sales_data[[#This Row],[sales]]&gt;3000,"High Sales",IF(Dmart_sales_data[[#This Row],[sales]]&gt;1000,"Medium Sales","Low Sales"))</f>
        <v>Medium Sales</v>
      </c>
      <c r="G446" s="15">
        <v>0.5</v>
      </c>
      <c r="H446" s="15">
        <v>8</v>
      </c>
      <c r="I446" s="16">
        <v>44933</v>
      </c>
      <c r="J446" s="16">
        <v>44938</v>
      </c>
      <c r="K446" s="15" t="s">
        <v>15</v>
      </c>
      <c r="L446" s="15" t="s">
        <v>15</v>
      </c>
      <c r="M446" s="15" t="s">
        <v>16</v>
      </c>
      <c r="N446" s="15">
        <v>380.04</v>
      </c>
      <c r="O446" s="27" t="s">
        <v>100</v>
      </c>
      <c r="P446" s="17" t="s">
        <v>65</v>
      </c>
      <c r="Q446" s="55" t="str">
        <f>IF(AND(Dmart_sales_data[[#This Row],[customer_type2]]="Member",OR(Dmart_sales_data[[#This Row],[payment_mode]]="UPI",Dmart_sales_data[[#This Row],[payment_mode]]="Card")),"yes","No")</f>
        <v>yes</v>
      </c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</row>
    <row r="447" spans="1:28" ht="14.25" customHeight="1" x14ac:dyDescent="0.3">
      <c r="A447" s="8" t="s">
        <v>489</v>
      </c>
      <c r="B447" s="9" t="s">
        <v>576</v>
      </c>
      <c r="C447" s="9" t="s">
        <v>576</v>
      </c>
      <c r="D447" s="10" t="s">
        <v>25</v>
      </c>
      <c r="E447" s="10">
        <v>3975.2</v>
      </c>
      <c r="F447" s="5" t="str">
        <f>IF(Dmart_sales_data[[#This Row],[sales]]&gt;3000,"High Sales",IF(Dmart_sales_data[[#This Row],[sales]]&gt;1000,"Medium Sales","Low Sales"))</f>
        <v>High Sales</v>
      </c>
      <c r="G447" s="10">
        <v>0.35</v>
      </c>
      <c r="H447" s="10">
        <v>3</v>
      </c>
      <c r="I447" s="11">
        <v>44950</v>
      </c>
      <c r="J447" s="11">
        <v>44952</v>
      </c>
      <c r="K447" s="10" t="s">
        <v>20</v>
      </c>
      <c r="L447" s="10" t="s">
        <v>20</v>
      </c>
      <c r="M447" s="10" t="s">
        <v>16</v>
      </c>
      <c r="N447" s="10">
        <v>537.94000000000005</v>
      </c>
      <c r="O447" s="27" t="s">
        <v>41</v>
      </c>
      <c r="P447" s="12" t="s">
        <v>68</v>
      </c>
      <c r="Q447" s="55" t="str">
        <f>IF(AND(Dmart_sales_data[[#This Row],[customer_type2]]="Member",OR(Dmart_sales_data[[#This Row],[payment_mode]]="UPI",Dmart_sales_data[[#This Row],[payment_mode]]="Card")),"yes","No")</f>
        <v>No</v>
      </c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</row>
    <row r="448" spans="1:28" ht="14.25" customHeight="1" x14ac:dyDescent="0.3">
      <c r="A448" s="13" t="s">
        <v>490</v>
      </c>
      <c r="B448" s="14" t="s">
        <v>24</v>
      </c>
      <c r="C448" s="14" t="s">
        <v>24</v>
      </c>
      <c r="D448" s="15" t="s">
        <v>37</v>
      </c>
      <c r="E448" s="15">
        <v>1641.15</v>
      </c>
      <c r="F448" s="5" t="str">
        <f>IF(Dmart_sales_data[[#This Row],[sales]]&gt;3000,"High Sales",IF(Dmart_sales_data[[#This Row],[sales]]&gt;1000,"Medium Sales","Low Sales"))</f>
        <v>Medium Sales</v>
      </c>
      <c r="G448" s="15">
        <v>0.48</v>
      </c>
      <c r="H448" s="15">
        <v>5</v>
      </c>
      <c r="I448" s="16">
        <v>45495</v>
      </c>
      <c r="J448" s="16">
        <v>45502</v>
      </c>
      <c r="K448" s="15" t="s">
        <v>20</v>
      </c>
      <c r="L448" s="15" t="s">
        <v>20</v>
      </c>
      <c r="M448" s="15" t="s">
        <v>16</v>
      </c>
      <c r="N448" s="15">
        <v>426.36</v>
      </c>
      <c r="O448" s="27" t="s">
        <v>100</v>
      </c>
      <c r="P448" s="17" t="s">
        <v>65</v>
      </c>
      <c r="Q448" s="55" t="str">
        <f>IF(AND(Dmart_sales_data[[#This Row],[customer_type2]]="Member",OR(Dmart_sales_data[[#This Row],[payment_mode]]="UPI",Dmart_sales_data[[#This Row],[payment_mode]]="Card")),"yes","No")</f>
        <v>No</v>
      </c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</row>
    <row r="449" spans="1:28" ht="14.25" customHeight="1" x14ac:dyDescent="0.3">
      <c r="A449" s="8" t="s">
        <v>491</v>
      </c>
      <c r="B449" s="9" t="s">
        <v>29</v>
      </c>
      <c r="C449" s="9" t="s">
        <v>29</v>
      </c>
      <c r="D449" s="10" t="s">
        <v>37</v>
      </c>
      <c r="E449" s="10">
        <v>3958.54</v>
      </c>
      <c r="F449" s="5" t="str">
        <f>IF(Dmart_sales_data[[#This Row],[sales]]&gt;3000,"High Sales",IF(Dmart_sales_data[[#This Row],[sales]]&gt;1000,"Medium Sales","Low Sales"))</f>
        <v>High Sales</v>
      </c>
      <c r="G449" s="10">
        <v>0.17</v>
      </c>
      <c r="H449" s="10">
        <v>4</v>
      </c>
      <c r="I449" s="11">
        <v>45653</v>
      </c>
      <c r="J449" s="11">
        <v>45660</v>
      </c>
      <c r="K449" s="10" t="s">
        <v>20</v>
      </c>
      <c r="L449" s="10" t="s">
        <v>20</v>
      </c>
      <c r="M449" s="10" t="s">
        <v>26</v>
      </c>
      <c r="N449" s="10">
        <v>446.02</v>
      </c>
      <c r="O449" s="27" t="s">
        <v>79</v>
      </c>
      <c r="P449" s="12" t="s">
        <v>22</v>
      </c>
      <c r="Q449" s="55" t="str">
        <f>IF(AND(Dmart_sales_data[[#This Row],[customer_type2]]="Member",OR(Dmart_sales_data[[#This Row],[payment_mode]]="UPI",Dmart_sales_data[[#This Row],[payment_mode]]="Card")),"yes","No")</f>
        <v>No</v>
      </c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</row>
    <row r="450" spans="1:28" ht="14.25" customHeight="1" x14ac:dyDescent="0.3">
      <c r="A450" s="13" t="s">
        <v>492</v>
      </c>
      <c r="B450" s="14" t="s">
        <v>13</v>
      </c>
      <c r="C450" s="4" t="s">
        <v>13</v>
      </c>
      <c r="D450" s="15" t="s">
        <v>14</v>
      </c>
      <c r="E450" s="15">
        <v>2310.16</v>
      </c>
      <c r="F450" s="5" t="str">
        <f>IF(Dmart_sales_data[[#This Row],[sales]]&gt;3000,"High Sales",IF(Dmart_sales_data[[#This Row],[sales]]&gt;1000,"Medium Sales","Low Sales"))</f>
        <v>Medium Sales</v>
      </c>
      <c r="G450" s="15">
        <v>0.31</v>
      </c>
      <c r="H450" s="15">
        <v>5</v>
      </c>
      <c r="I450" s="16">
        <v>45246</v>
      </c>
      <c r="J450" s="16">
        <v>45250</v>
      </c>
      <c r="K450" s="15" t="s">
        <v>15</v>
      </c>
      <c r="L450" s="15" t="s">
        <v>15</v>
      </c>
      <c r="M450" s="15" t="s">
        <v>21</v>
      </c>
      <c r="N450" s="15">
        <v>387.87</v>
      </c>
      <c r="O450" s="27" t="s">
        <v>35</v>
      </c>
      <c r="P450" s="17" t="s">
        <v>35</v>
      </c>
      <c r="Q450" s="55" t="str">
        <f>IF(AND(Dmart_sales_data[[#This Row],[customer_type2]]="Member",OR(Dmart_sales_data[[#This Row],[payment_mode]]="UPI",Dmart_sales_data[[#This Row],[payment_mode]]="Card")),"yes","No")</f>
        <v>yes</v>
      </c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</row>
    <row r="451" spans="1:28" ht="14.25" customHeight="1" x14ac:dyDescent="0.3">
      <c r="A451" s="8" t="s">
        <v>493</v>
      </c>
      <c r="B451" s="9" t="s">
        <v>576</v>
      </c>
      <c r="C451" s="9" t="s">
        <v>576</v>
      </c>
      <c r="D451" s="10" t="s">
        <v>25</v>
      </c>
      <c r="E451" s="10">
        <v>673.03</v>
      </c>
      <c r="F451" s="5" t="str">
        <f>IF(Dmart_sales_data[[#This Row],[sales]]&gt;3000,"High Sales",IF(Dmart_sales_data[[#This Row],[sales]]&gt;1000,"Medium Sales","Low Sales"))</f>
        <v>Low Sales</v>
      </c>
      <c r="G451" s="10">
        <v>0.26</v>
      </c>
      <c r="H451" s="10">
        <v>4</v>
      </c>
      <c r="I451" s="11">
        <v>45463</v>
      </c>
      <c r="J451" s="11">
        <v>45470</v>
      </c>
      <c r="K451" s="10" t="s">
        <v>20</v>
      </c>
      <c r="L451" s="10" t="s">
        <v>20</v>
      </c>
      <c r="M451" s="10" t="s">
        <v>21</v>
      </c>
      <c r="N451" s="10">
        <v>77.650000000000006</v>
      </c>
      <c r="O451" s="27" t="s">
        <v>35</v>
      </c>
      <c r="P451" s="12" t="s">
        <v>30</v>
      </c>
      <c r="Q451" s="55" t="str">
        <f>IF(AND(Dmart_sales_data[[#This Row],[customer_type2]]="Member",OR(Dmart_sales_data[[#This Row],[payment_mode]]="UPI",Dmart_sales_data[[#This Row],[payment_mode]]="Card")),"yes","No")</f>
        <v>No</v>
      </c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</row>
    <row r="452" spans="1:28" ht="14.25" customHeight="1" x14ac:dyDescent="0.3">
      <c r="A452" s="13" t="s">
        <v>494</v>
      </c>
      <c r="B452" s="14" t="s">
        <v>24</v>
      </c>
      <c r="C452" s="14" t="s">
        <v>24</v>
      </c>
      <c r="D452" s="15" t="s">
        <v>19</v>
      </c>
      <c r="E452" s="15">
        <v>1969.45</v>
      </c>
      <c r="F452" s="5" t="str">
        <f>IF(Dmart_sales_data[[#This Row],[sales]]&gt;3000,"High Sales",IF(Dmart_sales_data[[#This Row],[sales]]&gt;1000,"Medium Sales","Low Sales"))</f>
        <v>Medium Sales</v>
      </c>
      <c r="G452" s="15">
        <v>0.24</v>
      </c>
      <c r="H452" s="15">
        <v>8</v>
      </c>
      <c r="I452" s="16">
        <v>45382</v>
      </c>
      <c r="J452" s="16">
        <v>45388</v>
      </c>
      <c r="K452" s="15" t="s">
        <v>20</v>
      </c>
      <c r="L452" s="15" t="s">
        <v>20</v>
      </c>
      <c r="M452" s="15" t="s">
        <v>26</v>
      </c>
      <c r="N452" s="15">
        <v>428.31</v>
      </c>
      <c r="O452" s="27" t="s">
        <v>27</v>
      </c>
      <c r="P452" s="17" t="s">
        <v>48</v>
      </c>
      <c r="Q452" s="55" t="str">
        <f>IF(AND(Dmart_sales_data[[#This Row],[customer_type2]]="Member",OR(Dmart_sales_data[[#This Row],[payment_mode]]="UPI",Dmart_sales_data[[#This Row],[payment_mode]]="Card")),"yes","No")</f>
        <v>No</v>
      </c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</row>
    <row r="453" spans="1:28" ht="14.25" customHeight="1" x14ac:dyDescent="0.3">
      <c r="A453" s="8" t="s">
        <v>495</v>
      </c>
      <c r="B453" s="9" t="s">
        <v>29</v>
      </c>
      <c r="C453" s="9" t="s">
        <v>29</v>
      </c>
      <c r="D453" s="10" t="s">
        <v>14</v>
      </c>
      <c r="E453" s="10">
        <v>1244.1199999999999</v>
      </c>
      <c r="F453" s="5" t="str">
        <f>IF(Dmart_sales_data[[#This Row],[sales]]&gt;3000,"High Sales",IF(Dmart_sales_data[[#This Row],[sales]]&gt;1000,"Medium Sales","Low Sales"))</f>
        <v>Medium Sales</v>
      </c>
      <c r="G453" s="10">
        <v>0.32</v>
      </c>
      <c r="H453" s="10">
        <v>6</v>
      </c>
      <c r="I453" s="11">
        <v>45344</v>
      </c>
      <c r="J453" s="11">
        <v>45345</v>
      </c>
      <c r="K453" s="10" t="s">
        <v>15</v>
      </c>
      <c r="L453" s="10" t="s">
        <v>15</v>
      </c>
      <c r="M453" s="10" t="s">
        <v>21</v>
      </c>
      <c r="N453" s="10">
        <v>79.13</v>
      </c>
      <c r="O453" s="27" t="s">
        <v>100</v>
      </c>
      <c r="P453" s="12" t="s">
        <v>63</v>
      </c>
      <c r="Q453" s="55" t="str">
        <f>IF(AND(Dmart_sales_data[[#This Row],[customer_type2]]="Member",OR(Dmart_sales_data[[#This Row],[payment_mode]]="UPI",Dmart_sales_data[[#This Row],[payment_mode]]="Card")),"yes","No")</f>
        <v>yes</v>
      </c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</row>
    <row r="454" spans="1:28" ht="14.25" customHeight="1" x14ac:dyDescent="0.3">
      <c r="A454" s="13" t="s">
        <v>496</v>
      </c>
      <c r="B454" s="14" t="s">
        <v>13</v>
      </c>
      <c r="C454" s="4" t="s">
        <v>13</v>
      </c>
      <c r="D454" s="15" t="s">
        <v>19</v>
      </c>
      <c r="E454" s="15">
        <v>592.6</v>
      </c>
      <c r="F454" s="5" t="str">
        <f>IF(Dmart_sales_data[[#This Row],[sales]]&gt;3000,"High Sales",IF(Dmart_sales_data[[#This Row],[sales]]&gt;1000,"Medium Sales","Low Sales"))</f>
        <v>Low Sales</v>
      </c>
      <c r="G454" s="15">
        <v>0.16</v>
      </c>
      <c r="H454" s="15">
        <v>1</v>
      </c>
      <c r="I454" s="16">
        <v>45409</v>
      </c>
      <c r="J454" s="16">
        <v>45413</v>
      </c>
      <c r="K454" s="15" t="s">
        <v>15</v>
      </c>
      <c r="L454" s="15" t="s">
        <v>15</v>
      </c>
      <c r="M454" s="15" t="s">
        <v>26</v>
      </c>
      <c r="N454" s="15">
        <v>115.42</v>
      </c>
      <c r="O454" s="27" t="s">
        <v>17</v>
      </c>
      <c r="P454" s="17" t="s">
        <v>95</v>
      </c>
      <c r="Q454" s="55" t="str">
        <f>IF(AND(Dmart_sales_data[[#This Row],[customer_type2]]="Member",OR(Dmart_sales_data[[#This Row],[payment_mode]]="UPI",Dmart_sales_data[[#This Row],[payment_mode]]="Card")),"yes","No")</f>
        <v>No</v>
      </c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</row>
    <row r="455" spans="1:28" ht="14.25" customHeight="1" x14ac:dyDescent="0.3">
      <c r="A455" s="8" t="s">
        <v>497</v>
      </c>
      <c r="B455" s="9" t="s">
        <v>576</v>
      </c>
      <c r="C455" s="9" t="s">
        <v>576</v>
      </c>
      <c r="D455" s="10" t="s">
        <v>34</v>
      </c>
      <c r="E455" s="10">
        <v>640.41</v>
      </c>
      <c r="F455" s="5" t="str">
        <f>IF(Dmart_sales_data[[#This Row],[sales]]&gt;3000,"High Sales",IF(Dmart_sales_data[[#This Row],[sales]]&gt;1000,"Medium Sales","Low Sales"))</f>
        <v>Low Sales</v>
      </c>
      <c r="G455" s="10">
        <v>0.32</v>
      </c>
      <c r="H455" s="10">
        <v>5</v>
      </c>
      <c r="I455" s="11">
        <v>45492</v>
      </c>
      <c r="J455" s="11">
        <v>45499</v>
      </c>
      <c r="K455" s="10" t="s">
        <v>32</v>
      </c>
      <c r="L455" s="10" t="s">
        <v>32</v>
      </c>
      <c r="M455" s="10" t="s">
        <v>21</v>
      </c>
      <c r="N455" s="10">
        <v>150.09</v>
      </c>
      <c r="O455" s="27" t="s">
        <v>17</v>
      </c>
      <c r="P455" s="12" t="s">
        <v>52</v>
      </c>
      <c r="Q455" s="55" t="str">
        <f>IF(AND(Dmart_sales_data[[#This Row],[customer_type2]]="Member",OR(Dmart_sales_data[[#This Row],[payment_mode]]="UPI",Dmart_sales_data[[#This Row],[payment_mode]]="Card")),"yes","No")</f>
        <v>No</v>
      </c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</row>
    <row r="456" spans="1:28" ht="14.25" customHeight="1" x14ac:dyDescent="0.3">
      <c r="A456" s="13" t="s">
        <v>498</v>
      </c>
      <c r="B456" s="14" t="s">
        <v>24</v>
      </c>
      <c r="C456" s="14" t="s">
        <v>24</v>
      </c>
      <c r="D456" s="15" t="s">
        <v>37</v>
      </c>
      <c r="E456" s="15">
        <v>3922.35</v>
      </c>
      <c r="F456" s="5" t="str">
        <f>IF(Dmart_sales_data[[#This Row],[sales]]&gt;3000,"High Sales",IF(Dmart_sales_data[[#This Row],[sales]]&gt;1000,"Medium Sales","Low Sales"))</f>
        <v>High Sales</v>
      </c>
      <c r="G456" s="15">
        <v>0.34</v>
      </c>
      <c r="H456" s="15">
        <v>1</v>
      </c>
      <c r="I456" s="16">
        <v>45012</v>
      </c>
      <c r="J456" s="16">
        <v>45018</v>
      </c>
      <c r="K456" s="15" t="s">
        <v>32</v>
      </c>
      <c r="L456" s="15" t="s">
        <v>32</v>
      </c>
      <c r="M456" s="15" t="s">
        <v>26</v>
      </c>
      <c r="N456" s="15">
        <v>387.72</v>
      </c>
      <c r="O456" s="27" t="s">
        <v>41</v>
      </c>
      <c r="P456" s="17" t="s">
        <v>41</v>
      </c>
      <c r="Q456" s="55" t="str">
        <f>IF(AND(Dmart_sales_data[[#This Row],[customer_type2]]="Member",OR(Dmart_sales_data[[#This Row],[payment_mode]]="UPI",Dmart_sales_data[[#This Row],[payment_mode]]="Card")),"yes","No")</f>
        <v>No</v>
      </c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</row>
    <row r="457" spans="1:28" ht="14.25" customHeight="1" x14ac:dyDescent="0.3">
      <c r="A457" s="8" t="s">
        <v>499</v>
      </c>
      <c r="B457" s="9" t="s">
        <v>29</v>
      </c>
      <c r="C457" s="9" t="s">
        <v>29</v>
      </c>
      <c r="D457" s="10" t="s">
        <v>34</v>
      </c>
      <c r="E457" s="10">
        <v>4418.8500000000004</v>
      </c>
      <c r="F457" s="5" t="str">
        <f>IF(Dmart_sales_data[[#This Row],[sales]]&gt;3000,"High Sales",IF(Dmart_sales_data[[#This Row],[sales]]&gt;1000,"Medium Sales","Low Sales"))</f>
        <v>High Sales</v>
      </c>
      <c r="G457" s="10">
        <v>0.42</v>
      </c>
      <c r="H457" s="10">
        <v>3</v>
      </c>
      <c r="I457" s="11">
        <v>45429</v>
      </c>
      <c r="J457" s="11">
        <v>45435</v>
      </c>
      <c r="K457" s="10" t="s">
        <v>32</v>
      </c>
      <c r="L457" s="10" t="s">
        <v>32</v>
      </c>
      <c r="M457" s="10" t="s">
        <v>16</v>
      </c>
      <c r="N457" s="10">
        <v>482.71</v>
      </c>
      <c r="O457" s="27" t="s">
        <v>35</v>
      </c>
      <c r="P457" s="12" t="s">
        <v>35</v>
      </c>
      <c r="Q457" s="55" t="str">
        <f>IF(AND(Dmart_sales_data[[#This Row],[customer_type2]]="Member",OR(Dmart_sales_data[[#This Row],[payment_mode]]="UPI",Dmart_sales_data[[#This Row],[payment_mode]]="Card")),"yes","No")</f>
        <v>No</v>
      </c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</row>
    <row r="458" spans="1:28" ht="14.25" customHeight="1" x14ac:dyDescent="0.3">
      <c r="A458" s="13" t="s">
        <v>500</v>
      </c>
      <c r="B458" s="14" t="s">
        <v>13</v>
      </c>
      <c r="C458" s="4" t="s">
        <v>13</v>
      </c>
      <c r="D458" s="15" t="s">
        <v>37</v>
      </c>
      <c r="E458" s="15">
        <v>4642.93</v>
      </c>
      <c r="F458" s="5" t="str">
        <f>IF(Dmart_sales_data[[#This Row],[sales]]&gt;3000,"High Sales",IF(Dmart_sales_data[[#This Row],[sales]]&gt;1000,"Medium Sales","Low Sales"))</f>
        <v>High Sales</v>
      </c>
      <c r="G458" s="15">
        <v>0.37</v>
      </c>
      <c r="H458" s="15">
        <v>6</v>
      </c>
      <c r="I458" s="16">
        <v>45290</v>
      </c>
      <c r="J458" s="16">
        <v>45293</v>
      </c>
      <c r="K458" s="15" t="s">
        <v>20</v>
      </c>
      <c r="L458" s="15" t="s">
        <v>20</v>
      </c>
      <c r="M458" s="15" t="s">
        <v>21</v>
      </c>
      <c r="N458" s="15">
        <v>1074.45</v>
      </c>
      <c r="O458" s="27" t="s">
        <v>100</v>
      </c>
      <c r="P458" s="17" t="s">
        <v>100</v>
      </c>
      <c r="Q458" s="55" t="str">
        <f>IF(AND(Dmart_sales_data[[#This Row],[customer_type2]]="Member",OR(Dmart_sales_data[[#This Row],[payment_mode]]="UPI",Dmart_sales_data[[#This Row],[payment_mode]]="Card")),"yes","No")</f>
        <v>No</v>
      </c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</row>
    <row r="459" spans="1:28" ht="14.25" customHeight="1" x14ac:dyDescent="0.3">
      <c r="A459" s="8" t="s">
        <v>501</v>
      </c>
      <c r="B459" s="9" t="s">
        <v>576</v>
      </c>
      <c r="C459" s="9" t="s">
        <v>576</v>
      </c>
      <c r="D459" s="10" t="s">
        <v>14</v>
      </c>
      <c r="E459" s="10">
        <v>4284.34</v>
      </c>
      <c r="F459" s="5" t="str">
        <f>IF(Dmart_sales_data[[#This Row],[sales]]&gt;3000,"High Sales",IF(Dmart_sales_data[[#This Row],[sales]]&gt;1000,"Medium Sales","Low Sales"))</f>
        <v>High Sales</v>
      </c>
      <c r="G459" s="10">
        <v>0.16</v>
      </c>
      <c r="H459" s="10">
        <v>9</v>
      </c>
      <c r="I459" s="11">
        <v>44963</v>
      </c>
      <c r="J459" s="11">
        <v>44964</v>
      </c>
      <c r="K459" s="10" t="s">
        <v>15</v>
      </c>
      <c r="L459" s="10" t="s">
        <v>15</v>
      </c>
      <c r="M459" s="10" t="s">
        <v>21</v>
      </c>
      <c r="N459" s="10">
        <v>659.46</v>
      </c>
      <c r="O459" s="27" t="s">
        <v>17</v>
      </c>
      <c r="P459" s="12" t="s">
        <v>17</v>
      </c>
      <c r="Q459" s="55" t="str">
        <f>IF(AND(Dmart_sales_data[[#This Row],[customer_type2]]="Member",OR(Dmart_sales_data[[#This Row],[payment_mode]]="UPI",Dmart_sales_data[[#This Row],[payment_mode]]="Card")),"yes","No")</f>
        <v>yes</v>
      </c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</row>
    <row r="460" spans="1:28" ht="14.25" customHeight="1" x14ac:dyDescent="0.3">
      <c r="A460" s="13" t="s">
        <v>502</v>
      </c>
      <c r="B460" s="14" t="s">
        <v>24</v>
      </c>
      <c r="C460" s="14" t="s">
        <v>24</v>
      </c>
      <c r="D460" s="15" t="s">
        <v>19</v>
      </c>
      <c r="E460" s="15">
        <v>4168.1000000000004</v>
      </c>
      <c r="F460" s="5" t="str">
        <f>IF(Dmart_sales_data[[#This Row],[sales]]&gt;3000,"High Sales",IF(Dmart_sales_data[[#This Row],[sales]]&gt;1000,"Medium Sales","Low Sales"))</f>
        <v>High Sales</v>
      </c>
      <c r="G460" s="15">
        <v>0.23</v>
      </c>
      <c r="H460" s="15">
        <v>3</v>
      </c>
      <c r="I460" s="16">
        <v>45212</v>
      </c>
      <c r="J460" s="16">
        <v>45217</v>
      </c>
      <c r="K460" s="15" t="s">
        <v>32</v>
      </c>
      <c r="L460" s="15" t="s">
        <v>32</v>
      </c>
      <c r="M460" s="15" t="s">
        <v>16</v>
      </c>
      <c r="N460" s="15">
        <v>857.48</v>
      </c>
      <c r="O460" s="27" t="s">
        <v>79</v>
      </c>
      <c r="P460" s="17" t="s">
        <v>55</v>
      </c>
      <c r="Q460" s="55" t="str">
        <f>IF(AND(Dmart_sales_data[[#This Row],[customer_type2]]="Member",OR(Dmart_sales_data[[#This Row],[payment_mode]]="UPI",Dmart_sales_data[[#This Row],[payment_mode]]="Card")),"yes","No")</f>
        <v>No</v>
      </c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</row>
    <row r="461" spans="1:28" ht="14.25" customHeight="1" x14ac:dyDescent="0.3">
      <c r="A461" s="8" t="s">
        <v>503</v>
      </c>
      <c r="B461" s="9" t="s">
        <v>29</v>
      </c>
      <c r="C461" s="9" t="s">
        <v>29</v>
      </c>
      <c r="D461" s="10" t="s">
        <v>19</v>
      </c>
      <c r="E461" s="10">
        <v>437.3</v>
      </c>
      <c r="F461" s="5" t="str">
        <f>IF(Dmart_sales_data[[#This Row],[sales]]&gt;3000,"High Sales",IF(Dmart_sales_data[[#This Row],[sales]]&gt;1000,"Medium Sales","Low Sales"))</f>
        <v>Low Sales</v>
      </c>
      <c r="G461" s="10">
        <v>0.06</v>
      </c>
      <c r="H461" s="10">
        <v>4</v>
      </c>
      <c r="I461" s="11">
        <v>45433</v>
      </c>
      <c r="J461" s="11">
        <v>45437</v>
      </c>
      <c r="K461" s="10" t="s">
        <v>32</v>
      </c>
      <c r="L461" s="10" t="s">
        <v>32</v>
      </c>
      <c r="M461" s="10" t="s">
        <v>21</v>
      </c>
      <c r="N461" s="10">
        <v>68.510000000000005</v>
      </c>
      <c r="O461" s="27" t="s">
        <v>100</v>
      </c>
      <c r="P461" s="12" t="s">
        <v>65</v>
      </c>
      <c r="Q461" s="55" t="str">
        <f>IF(AND(Dmart_sales_data[[#This Row],[customer_type2]]="Member",OR(Dmart_sales_data[[#This Row],[payment_mode]]="UPI",Dmart_sales_data[[#This Row],[payment_mode]]="Card")),"yes","No")</f>
        <v>No</v>
      </c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</row>
    <row r="462" spans="1:28" ht="14.25" customHeight="1" x14ac:dyDescent="0.3">
      <c r="A462" s="13" t="s">
        <v>504</v>
      </c>
      <c r="B462" s="14" t="s">
        <v>13</v>
      </c>
      <c r="C462" s="4" t="s">
        <v>13</v>
      </c>
      <c r="D462" s="15" t="s">
        <v>14</v>
      </c>
      <c r="E462" s="15">
        <v>3971.61</v>
      </c>
      <c r="F462" s="5" t="str">
        <f>IF(Dmart_sales_data[[#This Row],[sales]]&gt;3000,"High Sales",IF(Dmart_sales_data[[#This Row],[sales]]&gt;1000,"Medium Sales","Low Sales"))</f>
        <v>High Sales</v>
      </c>
      <c r="G462" s="15">
        <v>0.13</v>
      </c>
      <c r="H462" s="15">
        <v>1</v>
      </c>
      <c r="I462" s="16">
        <v>45552</v>
      </c>
      <c r="J462" s="16">
        <v>45554</v>
      </c>
      <c r="K462" s="15" t="s">
        <v>15</v>
      </c>
      <c r="L462" s="15" t="s">
        <v>15</v>
      </c>
      <c r="M462" s="15" t="s">
        <v>26</v>
      </c>
      <c r="N462" s="15">
        <v>614.4</v>
      </c>
      <c r="O462" s="27" t="s">
        <v>17</v>
      </c>
      <c r="P462" s="17" t="s">
        <v>52</v>
      </c>
      <c r="Q462" s="55" t="str">
        <f>IF(AND(Dmart_sales_data[[#This Row],[customer_type2]]="Member",OR(Dmart_sales_data[[#This Row],[payment_mode]]="UPI",Dmart_sales_data[[#This Row],[payment_mode]]="Card")),"yes","No")</f>
        <v>No</v>
      </c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</row>
    <row r="463" spans="1:28" ht="14.25" customHeight="1" x14ac:dyDescent="0.3">
      <c r="A463" s="8" t="s">
        <v>505</v>
      </c>
      <c r="B463" s="9" t="s">
        <v>576</v>
      </c>
      <c r="C463" s="9" t="s">
        <v>576</v>
      </c>
      <c r="D463" s="10" t="s">
        <v>25</v>
      </c>
      <c r="E463" s="10">
        <v>3938.09</v>
      </c>
      <c r="F463" s="5" t="str">
        <f>IF(Dmart_sales_data[[#This Row],[sales]]&gt;3000,"High Sales",IF(Dmart_sales_data[[#This Row],[sales]]&gt;1000,"Medium Sales","Low Sales"))</f>
        <v>High Sales</v>
      </c>
      <c r="G463" s="10">
        <v>0.26</v>
      </c>
      <c r="H463" s="10">
        <v>2</v>
      </c>
      <c r="I463" s="11">
        <v>45114</v>
      </c>
      <c r="J463" s="11">
        <v>45120</v>
      </c>
      <c r="K463" s="10" t="s">
        <v>20</v>
      </c>
      <c r="L463" s="10" t="s">
        <v>20</v>
      </c>
      <c r="M463" s="10" t="s">
        <v>26</v>
      </c>
      <c r="N463" s="10">
        <v>492.8</v>
      </c>
      <c r="O463" s="27" t="s">
        <v>41</v>
      </c>
      <c r="P463" s="12" t="s">
        <v>68</v>
      </c>
      <c r="Q463" s="55" t="str">
        <f>IF(AND(Dmart_sales_data[[#This Row],[customer_type2]]="Member",OR(Dmart_sales_data[[#This Row],[payment_mode]]="UPI",Dmart_sales_data[[#This Row],[payment_mode]]="Card")),"yes","No")</f>
        <v>No</v>
      </c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</row>
    <row r="464" spans="1:28" ht="14.25" customHeight="1" x14ac:dyDescent="0.3">
      <c r="A464" s="13" t="s">
        <v>506</v>
      </c>
      <c r="B464" s="14" t="s">
        <v>24</v>
      </c>
      <c r="C464" s="14" t="s">
        <v>24</v>
      </c>
      <c r="D464" s="15" t="s">
        <v>34</v>
      </c>
      <c r="E464" s="15">
        <v>743.32</v>
      </c>
      <c r="F464" s="5" t="str">
        <f>IF(Dmart_sales_data[[#This Row],[sales]]&gt;3000,"High Sales",IF(Dmart_sales_data[[#This Row],[sales]]&gt;1000,"Medium Sales","Low Sales"))</f>
        <v>Low Sales</v>
      </c>
      <c r="G464" s="15">
        <v>0.05</v>
      </c>
      <c r="H464" s="15">
        <v>7</v>
      </c>
      <c r="I464" s="16">
        <v>45056</v>
      </c>
      <c r="J464" s="16">
        <v>45061</v>
      </c>
      <c r="K464" s="15" t="s">
        <v>15</v>
      </c>
      <c r="L464" s="15" t="s">
        <v>15</v>
      </c>
      <c r="M464" s="15" t="s">
        <v>16</v>
      </c>
      <c r="N464" s="15">
        <v>145.88999999999999</v>
      </c>
      <c r="O464" s="27" t="s">
        <v>17</v>
      </c>
      <c r="P464" s="17" t="s">
        <v>52</v>
      </c>
      <c r="Q464" s="55" t="str">
        <f>IF(AND(Dmart_sales_data[[#This Row],[customer_type2]]="Member",OR(Dmart_sales_data[[#This Row],[payment_mode]]="UPI",Dmart_sales_data[[#This Row],[payment_mode]]="Card")),"yes","No")</f>
        <v>yes</v>
      </c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</row>
    <row r="465" spans="1:28" ht="14.25" customHeight="1" x14ac:dyDescent="0.3">
      <c r="A465" s="8" t="s">
        <v>507</v>
      </c>
      <c r="B465" s="9" t="s">
        <v>29</v>
      </c>
      <c r="C465" s="9" t="s">
        <v>29</v>
      </c>
      <c r="D465" s="10" t="s">
        <v>34</v>
      </c>
      <c r="E465" s="10">
        <v>3343.85</v>
      </c>
      <c r="F465" s="5" t="str">
        <f>IF(Dmart_sales_data[[#This Row],[sales]]&gt;3000,"High Sales",IF(Dmart_sales_data[[#This Row],[sales]]&gt;1000,"Medium Sales","Low Sales"))</f>
        <v>High Sales</v>
      </c>
      <c r="G465" s="10">
        <v>0.28999999999999998</v>
      </c>
      <c r="H465" s="10">
        <v>8</v>
      </c>
      <c r="I465" s="11">
        <v>45230</v>
      </c>
      <c r="J465" s="11">
        <v>45235</v>
      </c>
      <c r="K465" s="10" t="s">
        <v>15</v>
      </c>
      <c r="L465" s="10" t="s">
        <v>15</v>
      </c>
      <c r="M465" s="10" t="s">
        <v>21</v>
      </c>
      <c r="N465" s="10">
        <v>668.21</v>
      </c>
      <c r="O465" s="27" t="s">
        <v>27</v>
      </c>
      <c r="P465" s="12" t="s">
        <v>27</v>
      </c>
      <c r="Q465" s="55" t="str">
        <f>IF(AND(Dmart_sales_data[[#This Row],[customer_type2]]="Member",OR(Dmart_sales_data[[#This Row],[payment_mode]]="UPI",Dmart_sales_data[[#This Row],[payment_mode]]="Card")),"yes","No")</f>
        <v>yes</v>
      </c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</row>
    <row r="466" spans="1:28" ht="14.25" customHeight="1" x14ac:dyDescent="0.3">
      <c r="A466" s="13" t="s">
        <v>508</v>
      </c>
      <c r="B466" s="14" t="s">
        <v>13</v>
      </c>
      <c r="C466" s="4" t="s">
        <v>13</v>
      </c>
      <c r="D466" s="15" t="s">
        <v>19</v>
      </c>
      <c r="E466" s="15">
        <v>2317.29</v>
      </c>
      <c r="F466" s="5" t="str">
        <f>IF(Dmart_sales_data[[#This Row],[sales]]&gt;3000,"High Sales",IF(Dmart_sales_data[[#This Row],[sales]]&gt;1000,"Medium Sales","Low Sales"))</f>
        <v>Medium Sales</v>
      </c>
      <c r="G466" s="15">
        <v>0.2</v>
      </c>
      <c r="H466" s="15">
        <v>1</v>
      </c>
      <c r="I466" s="16">
        <v>45653</v>
      </c>
      <c r="J466" s="16">
        <v>45657</v>
      </c>
      <c r="K466" s="15" t="s">
        <v>15</v>
      </c>
      <c r="L466" s="15" t="s">
        <v>15</v>
      </c>
      <c r="M466" s="15" t="s">
        <v>26</v>
      </c>
      <c r="N466" s="15">
        <v>551.62</v>
      </c>
      <c r="O466" s="27" t="s">
        <v>100</v>
      </c>
      <c r="P466" s="17" t="s">
        <v>100</v>
      </c>
      <c r="Q466" s="55" t="str">
        <f>IF(AND(Dmart_sales_data[[#This Row],[customer_type2]]="Member",OR(Dmart_sales_data[[#This Row],[payment_mode]]="UPI",Dmart_sales_data[[#This Row],[payment_mode]]="Card")),"yes","No")</f>
        <v>No</v>
      </c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</row>
    <row r="467" spans="1:28" ht="14.25" customHeight="1" x14ac:dyDescent="0.3">
      <c r="A467" s="8" t="s">
        <v>509</v>
      </c>
      <c r="B467" s="9" t="s">
        <v>576</v>
      </c>
      <c r="C467" s="9" t="s">
        <v>576</v>
      </c>
      <c r="D467" s="10" t="s">
        <v>19</v>
      </c>
      <c r="E467" s="10">
        <v>4510.07</v>
      </c>
      <c r="F467" s="5" t="str">
        <f>IF(Dmart_sales_data[[#This Row],[sales]]&gt;3000,"High Sales",IF(Dmart_sales_data[[#This Row],[sales]]&gt;1000,"Medium Sales","Low Sales"))</f>
        <v>High Sales</v>
      </c>
      <c r="G467" s="10">
        <v>0.02</v>
      </c>
      <c r="H467" s="10">
        <v>9</v>
      </c>
      <c r="I467" s="11">
        <v>45462</v>
      </c>
      <c r="J467" s="11">
        <v>45464</v>
      </c>
      <c r="K467" s="10" t="s">
        <v>20</v>
      </c>
      <c r="L467" s="10" t="s">
        <v>20</v>
      </c>
      <c r="M467" s="10" t="s">
        <v>16</v>
      </c>
      <c r="N467" s="10">
        <v>791.13</v>
      </c>
      <c r="O467" s="27" t="s">
        <v>79</v>
      </c>
      <c r="P467" s="12" t="s">
        <v>55</v>
      </c>
      <c r="Q467" s="55" t="str">
        <f>IF(AND(Dmart_sales_data[[#This Row],[customer_type2]]="Member",OR(Dmart_sales_data[[#This Row],[payment_mode]]="UPI",Dmart_sales_data[[#This Row],[payment_mode]]="Card")),"yes","No")</f>
        <v>No</v>
      </c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</row>
    <row r="468" spans="1:28" ht="14.25" customHeight="1" x14ac:dyDescent="0.3">
      <c r="A468" s="13" t="s">
        <v>510</v>
      </c>
      <c r="B468" s="14" t="s">
        <v>24</v>
      </c>
      <c r="C468" s="14" t="s">
        <v>24</v>
      </c>
      <c r="D468" s="15" t="s">
        <v>19</v>
      </c>
      <c r="E468" s="15">
        <v>3507.5</v>
      </c>
      <c r="F468" s="5" t="str">
        <f>IF(Dmart_sales_data[[#This Row],[sales]]&gt;3000,"High Sales",IF(Dmart_sales_data[[#This Row],[sales]]&gt;1000,"Medium Sales","Low Sales"))</f>
        <v>High Sales</v>
      </c>
      <c r="G468" s="15">
        <v>0.22</v>
      </c>
      <c r="H468" s="15">
        <v>6</v>
      </c>
      <c r="I468" s="16">
        <v>45175</v>
      </c>
      <c r="J468" s="16">
        <v>45176</v>
      </c>
      <c r="K468" s="15" t="s">
        <v>32</v>
      </c>
      <c r="L468" s="15" t="s">
        <v>32</v>
      </c>
      <c r="M468" s="15" t="s">
        <v>21</v>
      </c>
      <c r="N468" s="15">
        <v>668.11</v>
      </c>
      <c r="O468" s="27" t="s">
        <v>100</v>
      </c>
      <c r="P468" s="17" t="s">
        <v>65</v>
      </c>
      <c r="Q468" s="55" t="str">
        <f>IF(AND(Dmart_sales_data[[#This Row],[customer_type2]]="Member",OR(Dmart_sales_data[[#This Row],[payment_mode]]="UPI",Dmart_sales_data[[#This Row],[payment_mode]]="Card")),"yes","No")</f>
        <v>No</v>
      </c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</row>
    <row r="469" spans="1:28" ht="14.25" customHeight="1" x14ac:dyDescent="0.3">
      <c r="A469" s="8" t="s">
        <v>511</v>
      </c>
      <c r="B469" s="9" t="s">
        <v>29</v>
      </c>
      <c r="C469" s="9" t="s">
        <v>29</v>
      </c>
      <c r="D469" s="10" t="s">
        <v>14</v>
      </c>
      <c r="E469" s="10">
        <v>4759.84</v>
      </c>
      <c r="F469" s="5" t="str">
        <f>IF(Dmart_sales_data[[#This Row],[sales]]&gt;3000,"High Sales",IF(Dmart_sales_data[[#This Row],[sales]]&gt;1000,"Medium Sales","Low Sales"))</f>
        <v>High Sales</v>
      </c>
      <c r="G469" s="10">
        <v>0.14000000000000001</v>
      </c>
      <c r="H469" s="10">
        <v>1</v>
      </c>
      <c r="I469" s="11">
        <v>45153</v>
      </c>
      <c r="J469" s="11">
        <v>45160</v>
      </c>
      <c r="K469" s="10" t="s">
        <v>32</v>
      </c>
      <c r="L469" s="10" t="s">
        <v>32</v>
      </c>
      <c r="M469" s="10" t="s">
        <v>26</v>
      </c>
      <c r="N469" s="10">
        <v>1246.55</v>
      </c>
      <c r="O469" s="27" t="s">
        <v>79</v>
      </c>
      <c r="P469" s="12" t="s">
        <v>55</v>
      </c>
      <c r="Q469" s="55" t="str">
        <f>IF(AND(Dmart_sales_data[[#This Row],[customer_type2]]="Member",OR(Dmart_sales_data[[#This Row],[payment_mode]]="UPI",Dmart_sales_data[[#This Row],[payment_mode]]="Card")),"yes","No")</f>
        <v>No</v>
      </c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</row>
    <row r="470" spans="1:28" ht="14.25" customHeight="1" x14ac:dyDescent="0.3">
      <c r="A470" s="13" t="s">
        <v>512</v>
      </c>
      <c r="B470" s="14" t="s">
        <v>13</v>
      </c>
      <c r="C470" s="4" t="s">
        <v>13</v>
      </c>
      <c r="D470" s="15" t="s">
        <v>25</v>
      </c>
      <c r="E470" s="15">
        <v>614.12</v>
      </c>
      <c r="F470" s="5" t="str">
        <f>IF(Dmart_sales_data[[#This Row],[sales]]&gt;3000,"High Sales",IF(Dmart_sales_data[[#This Row],[sales]]&gt;1000,"Medium Sales","Low Sales"))</f>
        <v>Low Sales</v>
      </c>
      <c r="G470" s="15">
        <v>0.03</v>
      </c>
      <c r="H470" s="15">
        <v>4</v>
      </c>
      <c r="I470" s="16">
        <v>45638</v>
      </c>
      <c r="J470" s="16">
        <v>45643</v>
      </c>
      <c r="K470" s="15" t="s">
        <v>20</v>
      </c>
      <c r="L470" s="15" t="s">
        <v>20</v>
      </c>
      <c r="M470" s="15" t="s">
        <v>21</v>
      </c>
      <c r="N470" s="15">
        <v>36.9</v>
      </c>
      <c r="O470" s="27" t="s">
        <v>41</v>
      </c>
      <c r="P470" s="17" t="s">
        <v>44</v>
      </c>
      <c r="Q470" s="55" t="str">
        <f>IF(AND(Dmart_sales_data[[#This Row],[customer_type2]]="Member",OR(Dmart_sales_data[[#This Row],[payment_mode]]="UPI",Dmart_sales_data[[#This Row],[payment_mode]]="Card")),"yes","No")</f>
        <v>No</v>
      </c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</row>
    <row r="471" spans="1:28" ht="14.25" customHeight="1" x14ac:dyDescent="0.3">
      <c r="A471" s="8" t="s">
        <v>513</v>
      </c>
      <c r="B471" s="9" t="s">
        <v>576</v>
      </c>
      <c r="C471" s="9" t="s">
        <v>576</v>
      </c>
      <c r="D471" s="10" t="s">
        <v>34</v>
      </c>
      <c r="E471" s="10">
        <v>298.98</v>
      </c>
      <c r="F471" s="5" t="str">
        <f>IF(Dmart_sales_data[[#This Row],[sales]]&gt;3000,"High Sales",IF(Dmart_sales_data[[#This Row],[sales]]&gt;1000,"Medium Sales","Low Sales"))</f>
        <v>Low Sales</v>
      </c>
      <c r="G471" s="10">
        <v>0.15</v>
      </c>
      <c r="H471" s="10">
        <v>4</v>
      </c>
      <c r="I471" s="11">
        <v>45410</v>
      </c>
      <c r="J471" s="11">
        <v>45411</v>
      </c>
      <c r="K471" s="10" t="s">
        <v>15</v>
      </c>
      <c r="L471" s="10" t="s">
        <v>15</v>
      </c>
      <c r="M471" s="10" t="s">
        <v>21</v>
      </c>
      <c r="N471" s="10">
        <v>53.78</v>
      </c>
      <c r="O471" s="27" t="s">
        <v>27</v>
      </c>
      <c r="P471" s="12" t="s">
        <v>27</v>
      </c>
      <c r="Q471" s="55" t="str">
        <f>IF(AND(Dmart_sales_data[[#This Row],[customer_type2]]="Member",OR(Dmart_sales_data[[#This Row],[payment_mode]]="UPI",Dmart_sales_data[[#This Row],[payment_mode]]="Card")),"yes","No")</f>
        <v>yes</v>
      </c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</row>
    <row r="472" spans="1:28" ht="14.25" customHeight="1" x14ac:dyDescent="0.3">
      <c r="A472" s="13" t="s">
        <v>514</v>
      </c>
      <c r="B472" s="14" t="s">
        <v>24</v>
      </c>
      <c r="C472" s="14" t="s">
        <v>24</v>
      </c>
      <c r="D472" s="15" t="s">
        <v>37</v>
      </c>
      <c r="E472" s="15">
        <v>4870.54</v>
      </c>
      <c r="F472" s="5" t="str">
        <f>IF(Dmart_sales_data[[#This Row],[sales]]&gt;3000,"High Sales",IF(Dmart_sales_data[[#This Row],[sales]]&gt;1000,"Medium Sales","Low Sales"))</f>
        <v>High Sales</v>
      </c>
      <c r="G472" s="15">
        <v>0.15</v>
      </c>
      <c r="H472" s="15">
        <v>7</v>
      </c>
      <c r="I472" s="16">
        <v>45584</v>
      </c>
      <c r="J472" s="16">
        <v>45589</v>
      </c>
      <c r="K472" s="15" t="s">
        <v>15</v>
      </c>
      <c r="L472" s="15" t="s">
        <v>15</v>
      </c>
      <c r="M472" s="15" t="s">
        <v>26</v>
      </c>
      <c r="N472" s="15">
        <v>397.26</v>
      </c>
      <c r="O472" s="27" t="s">
        <v>100</v>
      </c>
      <c r="P472" s="17" t="s">
        <v>100</v>
      </c>
      <c r="Q472" s="55" t="str">
        <f>IF(AND(Dmart_sales_data[[#This Row],[customer_type2]]="Member",OR(Dmart_sales_data[[#This Row],[payment_mode]]="UPI",Dmart_sales_data[[#This Row],[payment_mode]]="Card")),"yes","No")</f>
        <v>No</v>
      </c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</row>
    <row r="473" spans="1:28" ht="14.25" customHeight="1" x14ac:dyDescent="0.3">
      <c r="A473" s="8" t="s">
        <v>515</v>
      </c>
      <c r="B473" s="9" t="s">
        <v>29</v>
      </c>
      <c r="C473" s="9" t="s">
        <v>29</v>
      </c>
      <c r="D473" s="10" t="s">
        <v>14</v>
      </c>
      <c r="E473" s="10">
        <v>492.94</v>
      </c>
      <c r="F473" s="5" t="str">
        <f>IF(Dmart_sales_data[[#This Row],[sales]]&gt;3000,"High Sales",IF(Dmart_sales_data[[#This Row],[sales]]&gt;1000,"Medium Sales","Low Sales"))</f>
        <v>Low Sales</v>
      </c>
      <c r="G473" s="10">
        <v>0.18</v>
      </c>
      <c r="H473" s="10">
        <v>1</v>
      </c>
      <c r="I473" s="11">
        <v>45250</v>
      </c>
      <c r="J473" s="11">
        <v>45257</v>
      </c>
      <c r="K473" s="10" t="s">
        <v>32</v>
      </c>
      <c r="L473" s="10" t="s">
        <v>32</v>
      </c>
      <c r="M473" s="10" t="s">
        <v>21</v>
      </c>
      <c r="N473" s="10">
        <v>109.12</v>
      </c>
      <c r="O473" s="27" t="s">
        <v>41</v>
      </c>
      <c r="P473" s="12" t="s">
        <v>41</v>
      </c>
      <c r="Q473" s="55" t="str">
        <f>IF(AND(Dmart_sales_data[[#This Row],[customer_type2]]="Member",OR(Dmart_sales_data[[#This Row],[payment_mode]]="UPI",Dmart_sales_data[[#This Row],[payment_mode]]="Card")),"yes","No")</f>
        <v>No</v>
      </c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</row>
    <row r="474" spans="1:28" ht="14.25" customHeight="1" x14ac:dyDescent="0.3">
      <c r="A474" s="13" t="s">
        <v>516</v>
      </c>
      <c r="B474" s="14" t="s">
        <v>13</v>
      </c>
      <c r="C474" s="4" t="s">
        <v>13</v>
      </c>
      <c r="D474" s="15" t="s">
        <v>34</v>
      </c>
      <c r="E474" s="15">
        <v>1992.36</v>
      </c>
      <c r="F474" s="5" t="str">
        <f>IF(Dmart_sales_data[[#This Row],[sales]]&gt;3000,"High Sales",IF(Dmart_sales_data[[#This Row],[sales]]&gt;1000,"Medium Sales","Low Sales"))</f>
        <v>Medium Sales</v>
      </c>
      <c r="G474" s="15">
        <v>0.18</v>
      </c>
      <c r="H474" s="15">
        <v>9</v>
      </c>
      <c r="I474" s="16">
        <v>44934</v>
      </c>
      <c r="J474" s="16">
        <v>44937</v>
      </c>
      <c r="K474" s="15" t="s">
        <v>32</v>
      </c>
      <c r="L474" s="15" t="s">
        <v>32</v>
      </c>
      <c r="M474" s="15" t="s">
        <v>26</v>
      </c>
      <c r="N474" s="15">
        <v>545.08000000000004</v>
      </c>
      <c r="O474" s="27" t="s">
        <v>79</v>
      </c>
      <c r="P474" s="17" t="s">
        <v>55</v>
      </c>
      <c r="Q474" s="55" t="str">
        <f>IF(AND(Dmart_sales_data[[#This Row],[customer_type2]]="Member",OR(Dmart_sales_data[[#This Row],[payment_mode]]="UPI",Dmart_sales_data[[#This Row],[payment_mode]]="Card")),"yes","No")</f>
        <v>No</v>
      </c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</row>
    <row r="475" spans="1:28" ht="14.25" customHeight="1" x14ac:dyDescent="0.3">
      <c r="A475" s="8" t="s">
        <v>517</v>
      </c>
      <c r="B475" s="9" t="s">
        <v>576</v>
      </c>
      <c r="C475" s="9" t="s">
        <v>576</v>
      </c>
      <c r="D475" s="10" t="s">
        <v>25</v>
      </c>
      <c r="E475" s="10">
        <v>3284.86</v>
      </c>
      <c r="F475" s="5" t="str">
        <f>IF(Dmart_sales_data[[#This Row],[sales]]&gt;3000,"High Sales",IF(Dmart_sales_data[[#This Row],[sales]]&gt;1000,"Medium Sales","Low Sales"))</f>
        <v>High Sales</v>
      </c>
      <c r="G475" s="10">
        <v>0.21</v>
      </c>
      <c r="H475" s="10">
        <v>1</v>
      </c>
      <c r="I475" s="11">
        <v>44982</v>
      </c>
      <c r="J475" s="11">
        <v>44989</v>
      </c>
      <c r="K475" s="10" t="s">
        <v>15</v>
      </c>
      <c r="L475" s="10" t="s">
        <v>15</v>
      </c>
      <c r="M475" s="10" t="s">
        <v>26</v>
      </c>
      <c r="N475" s="10">
        <v>512.98</v>
      </c>
      <c r="O475" s="27" t="s">
        <v>35</v>
      </c>
      <c r="P475" s="12" t="s">
        <v>58</v>
      </c>
      <c r="Q475" s="55" t="str">
        <f>IF(AND(Dmart_sales_data[[#This Row],[customer_type2]]="Member",OR(Dmart_sales_data[[#This Row],[payment_mode]]="UPI",Dmart_sales_data[[#This Row],[payment_mode]]="Card")),"yes","No")</f>
        <v>No</v>
      </c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</row>
    <row r="476" spans="1:28" ht="14.25" customHeight="1" x14ac:dyDescent="0.3">
      <c r="A476" s="13" t="s">
        <v>518</v>
      </c>
      <c r="B476" s="14" t="s">
        <v>24</v>
      </c>
      <c r="C476" s="14" t="s">
        <v>24</v>
      </c>
      <c r="D476" s="15" t="s">
        <v>14</v>
      </c>
      <c r="E476" s="15">
        <v>4412.28</v>
      </c>
      <c r="F476" s="5" t="str">
        <f>IF(Dmart_sales_data[[#This Row],[sales]]&gt;3000,"High Sales",IF(Dmart_sales_data[[#This Row],[sales]]&gt;1000,"Medium Sales","Low Sales"))</f>
        <v>High Sales</v>
      </c>
      <c r="G476" s="15">
        <v>0.05</v>
      </c>
      <c r="H476" s="15">
        <v>3</v>
      </c>
      <c r="I476" s="16">
        <v>45499</v>
      </c>
      <c r="J476" s="16">
        <v>45505</v>
      </c>
      <c r="K476" s="15" t="s">
        <v>20</v>
      </c>
      <c r="L476" s="15" t="s">
        <v>20</v>
      </c>
      <c r="M476" s="15" t="s">
        <v>26</v>
      </c>
      <c r="N476" s="15">
        <v>921.96</v>
      </c>
      <c r="O476" s="27" t="s">
        <v>17</v>
      </c>
      <c r="P476" s="17" t="s">
        <v>17</v>
      </c>
      <c r="Q476" s="55" t="str">
        <f>IF(AND(Dmart_sales_data[[#This Row],[customer_type2]]="Member",OR(Dmart_sales_data[[#This Row],[payment_mode]]="UPI",Dmart_sales_data[[#This Row],[payment_mode]]="Card")),"yes","No")</f>
        <v>No</v>
      </c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</row>
    <row r="477" spans="1:28" ht="14.25" customHeight="1" x14ac:dyDescent="0.3">
      <c r="A477" s="8" t="s">
        <v>519</v>
      </c>
      <c r="B477" s="9" t="s">
        <v>29</v>
      </c>
      <c r="C477" s="9" t="s">
        <v>29</v>
      </c>
      <c r="D477" s="10" t="s">
        <v>34</v>
      </c>
      <c r="E477" s="10">
        <v>1347.43</v>
      </c>
      <c r="F477" s="5" t="str">
        <f>IF(Dmart_sales_data[[#This Row],[sales]]&gt;3000,"High Sales",IF(Dmart_sales_data[[#This Row],[sales]]&gt;1000,"Medium Sales","Low Sales"))</f>
        <v>Medium Sales</v>
      </c>
      <c r="G477" s="10">
        <v>0</v>
      </c>
      <c r="H477" s="10">
        <v>1</v>
      </c>
      <c r="I477" s="11">
        <v>45477</v>
      </c>
      <c r="J477" s="11">
        <v>45484</v>
      </c>
      <c r="K477" s="10" t="s">
        <v>32</v>
      </c>
      <c r="L477" s="10" t="s">
        <v>32</v>
      </c>
      <c r="M477" s="10" t="s">
        <v>16</v>
      </c>
      <c r="N477" s="10">
        <v>191.82</v>
      </c>
      <c r="O477" s="27" t="s">
        <v>100</v>
      </c>
      <c r="P477" s="12" t="s">
        <v>65</v>
      </c>
      <c r="Q477" s="55" t="str">
        <f>IF(AND(Dmart_sales_data[[#This Row],[customer_type2]]="Member",OR(Dmart_sales_data[[#This Row],[payment_mode]]="UPI",Dmart_sales_data[[#This Row],[payment_mode]]="Card")),"yes","No")</f>
        <v>No</v>
      </c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</row>
    <row r="478" spans="1:28" ht="14.25" customHeight="1" x14ac:dyDescent="0.3">
      <c r="A478" s="13" t="s">
        <v>520</v>
      </c>
      <c r="B478" s="14" t="s">
        <v>13</v>
      </c>
      <c r="C478" s="4" t="s">
        <v>13</v>
      </c>
      <c r="D478" s="15" t="s">
        <v>14</v>
      </c>
      <c r="E478" s="15">
        <v>242.39</v>
      </c>
      <c r="F478" s="5" t="str">
        <f>IF(Dmart_sales_data[[#This Row],[sales]]&gt;3000,"High Sales",IF(Dmart_sales_data[[#This Row],[sales]]&gt;1000,"Medium Sales","Low Sales"))</f>
        <v>Low Sales</v>
      </c>
      <c r="G478" s="15">
        <v>0.37</v>
      </c>
      <c r="H478" s="15">
        <v>1</v>
      </c>
      <c r="I478" s="16">
        <v>45200</v>
      </c>
      <c r="J478" s="16">
        <v>45205</v>
      </c>
      <c r="K478" s="15" t="s">
        <v>20</v>
      </c>
      <c r="L478" s="15" t="s">
        <v>20</v>
      </c>
      <c r="M478" s="15" t="s">
        <v>16</v>
      </c>
      <c r="N478" s="15">
        <v>57.92</v>
      </c>
      <c r="O478" s="27" t="s">
        <v>27</v>
      </c>
      <c r="P478" s="17" t="s">
        <v>27</v>
      </c>
      <c r="Q478" s="55" t="str">
        <f>IF(AND(Dmart_sales_data[[#This Row],[customer_type2]]="Member",OR(Dmart_sales_data[[#This Row],[payment_mode]]="UPI",Dmart_sales_data[[#This Row],[payment_mode]]="Card")),"yes","No")</f>
        <v>No</v>
      </c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</row>
    <row r="479" spans="1:28" ht="14.25" customHeight="1" x14ac:dyDescent="0.3">
      <c r="A479" s="8" t="s">
        <v>521</v>
      </c>
      <c r="B479" s="9" t="s">
        <v>576</v>
      </c>
      <c r="C479" s="9" t="s">
        <v>576</v>
      </c>
      <c r="D479" s="10" t="s">
        <v>34</v>
      </c>
      <c r="E479" s="10">
        <v>2654.31</v>
      </c>
      <c r="F479" s="5" t="str">
        <f>IF(Dmart_sales_data[[#This Row],[sales]]&gt;3000,"High Sales",IF(Dmart_sales_data[[#This Row],[sales]]&gt;1000,"Medium Sales","Low Sales"))</f>
        <v>Medium Sales</v>
      </c>
      <c r="G479" s="10">
        <v>0.17</v>
      </c>
      <c r="H479" s="10">
        <v>4</v>
      </c>
      <c r="I479" s="11">
        <v>45023</v>
      </c>
      <c r="J479" s="11">
        <v>45024</v>
      </c>
      <c r="K479" s="10" t="s">
        <v>20</v>
      </c>
      <c r="L479" s="10" t="s">
        <v>20</v>
      </c>
      <c r="M479" s="10" t="s">
        <v>21</v>
      </c>
      <c r="N479" s="10">
        <v>523.78</v>
      </c>
      <c r="O479" s="27" t="s">
        <v>41</v>
      </c>
      <c r="P479" s="12" t="s">
        <v>44</v>
      </c>
      <c r="Q479" s="55" t="str">
        <f>IF(AND(Dmart_sales_data[[#This Row],[customer_type2]]="Member",OR(Dmart_sales_data[[#This Row],[payment_mode]]="UPI",Dmart_sales_data[[#This Row],[payment_mode]]="Card")),"yes","No")</f>
        <v>No</v>
      </c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</row>
    <row r="480" spans="1:28" ht="14.25" customHeight="1" x14ac:dyDescent="0.3">
      <c r="A480" s="13" t="s">
        <v>522</v>
      </c>
      <c r="B480" s="14" t="s">
        <v>24</v>
      </c>
      <c r="C480" s="14" t="s">
        <v>24</v>
      </c>
      <c r="D480" s="15" t="s">
        <v>34</v>
      </c>
      <c r="E480" s="15">
        <v>2408.4499999999998</v>
      </c>
      <c r="F480" s="5" t="str">
        <f>IF(Dmart_sales_data[[#This Row],[sales]]&gt;3000,"High Sales",IF(Dmart_sales_data[[#This Row],[sales]]&gt;1000,"Medium Sales","Low Sales"))</f>
        <v>Medium Sales</v>
      </c>
      <c r="G480" s="15">
        <v>0.31</v>
      </c>
      <c r="H480" s="15">
        <v>2</v>
      </c>
      <c r="I480" s="16">
        <v>45584</v>
      </c>
      <c r="J480" s="16">
        <v>45586</v>
      </c>
      <c r="K480" s="15" t="s">
        <v>15</v>
      </c>
      <c r="L480" s="15" t="s">
        <v>15</v>
      </c>
      <c r="M480" s="15" t="s">
        <v>26</v>
      </c>
      <c r="N480" s="15">
        <v>485.96</v>
      </c>
      <c r="O480" s="27" t="s">
        <v>41</v>
      </c>
      <c r="P480" s="17" t="s">
        <v>68</v>
      </c>
      <c r="Q480" s="55" t="str">
        <f>IF(AND(Dmart_sales_data[[#This Row],[customer_type2]]="Member",OR(Dmart_sales_data[[#This Row],[payment_mode]]="UPI",Dmart_sales_data[[#This Row],[payment_mode]]="Card")),"yes","No")</f>
        <v>No</v>
      </c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</row>
    <row r="481" spans="1:28" ht="14.25" customHeight="1" x14ac:dyDescent="0.3">
      <c r="A481" s="8" t="s">
        <v>523</v>
      </c>
      <c r="B481" s="9" t="s">
        <v>29</v>
      </c>
      <c r="C481" s="9" t="s">
        <v>29</v>
      </c>
      <c r="D481" s="10" t="s">
        <v>25</v>
      </c>
      <c r="E481" s="10">
        <v>1603.78</v>
      </c>
      <c r="F481" s="5" t="str">
        <f>IF(Dmart_sales_data[[#This Row],[sales]]&gt;3000,"High Sales",IF(Dmart_sales_data[[#This Row],[sales]]&gt;1000,"Medium Sales","Low Sales"))</f>
        <v>Medium Sales</v>
      </c>
      <c r="G481" s="10">
        <v>0.15</v>
      </c>
      <c r="H481" s="10">
        <v>9</v>
      </c>
      <c r="I481" s="11">
        <v>45024</v>
      </c>
      <c r="J481" s="11">
        <v>45028</v>
      </c>
      <c r="K481" s="10" t="s">
        <v>20</v>
      </c>
      <c r="L481" s="10" t="s">
        <v>20</v>
      </c>
      <c r="M481" s="10" t="s">
        <v>26</v>
      </c>
      <c r="N481" s="10">
        <v>149.71</v>
      </c>
      <c r="O481" s="27" t="s">
        <v>100</v>
      </c>
      <c r="P481" s="12" t="s">
        <v>100</v>
      </c>
      <c r="Q481" s="55" t="str">
        <f>IF(AND(Dmart_sales_data[[#This Row],[customer_type2]]="Member",OR(Dmart_sales_data[[#This Row],[payment_mode]]="UPI",Dmart_sales_data[[#This Row],[payment_mode]]="Card")),"yes","No")</f>
        <v>No</v>
      </c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</row>
    <row r="482" spans="1:28" ht="14.25" customHeight="1" x14ac:dyDescent="0.3">
      <c r="A482" s="13" t="s">
        <v>524</v>
      </c>
      <c r="B482" s="14" t="s">
        <v>13</v>
      </c>
      <c r="C482" s="4" t="s">
        <v>13</v>
      </c>
      <c r="D482" s="15" t="s">
        <v>37</v>
      </c>
      <c r="E482" s="15">
        <v>4382.1099999999997</v>
      </c>
      <c r="F482" s="5" t="str">
        <f>IF(Dmart_sales_data[[#This Row],[sales]]&gt;3000,"High Sales",IF(Dmart_sales_data[[#This Row],[sales]]&gt;1000,"Medium Sales","Low Sales"))</f>
        <v>High Sales</v>
      </c>
      <c r="G482" s="15">
        <v>0.49</v>
      </c>
      <c r="H482" s="15">
        <v>1</v>
      </c>
      <c r="I482" s="16">
        <v>45137</v>
      </c>
      <c r="J482" s="16">
        <v>45139</v>
      </c>
      <c r="K482" s="15" t="s">
        <v>15</v>
      </c>
      <c r="L482" s="15" t="s">
        <v>15</v>
      </c>
      <c r="M482" s="15" t="s">
        <v>26</v>
      </c>
      <c r="N482" s="15">
        <v>226.6</v>
      </c>
      <c r="O482" s="27" t="s">
        <v>100</v>
      </c>
      <c r="P482" s="17" t="s">
        <v>63</v>
      </c>
      <c r="Q482" s="55" t="str">
        <f>IF(AND(Dmart_sales_data[[#This Row],[customer_type2]]="Member",OR(Dmart_sales_data[[#This Row],[payment_mode]]="UPI",Dmart_sales_data[[#This Row],[payment_mode]]="Card")),"yes","No")</f>
        <v>No</v>
      </c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</row>
    <row r="483" spans="1:28" ht="14.25" customHeight="1" x14ac:dyDescent="0.3">
      <c r="A483" s="8" t="s">
        <v>525</v>
      </c>
      <c r="B483" s="9" t="s">
        <v>576</v>
      </c>
      <c r="C483" s="9" t="s">
        <v>576</v>
      </c>
      <c r="D483" s="10" t="s">
        <v>25</v>
      </c>
      <c r="E483" s="10">
        <v>3771.68</v>
      </c>
      <c r="F483" s="5" t="str">
        <f>IF(Dmart_sales_data[[#This Row],[sales]]&gt;3000,"High Sales",IF(Dmart_sales_data[[#This Row],[sales]]&gt;1000,"Medium Sales","Low Sales"))</f>
        <v>High Sales</v>
      </c>
      <c r="G483" s="10">
        <v>0.16</v>
      </c>
      <c r="H483" s="10">
        <v>3</v>
      </c>
      <c r="I483" s="11">
        <v>45480</v>
      </c>
      <c r="J483" s="11">
        <v>45485</v>
      </c>
      <c r="K483" s="10" t="s">
        <v>20</v>
      </c>
      <c r="L483" s="10" t="s">
        <v>20</v>
      </c>
      <c r="M483" s="10" t="s">
        <v>16</v>
      </c>
      <c r="N483" s="10">
        <v>778.64</v>
      </c>
      <c r="O483" s="27" t="s">
        <v>35</v>
      </c>
      <c r="P483" s="12" t="s">
        <v>58</v>
      </c>
      <c r="Q483" s="55" t="str">
        <f>IF(AND(Dmart_sales_data[[#This Row],[customer_type2]]="Member",OR(Dmart_sales_data[[#This Row],[payment_mode]]="UPI",Dmart_sales_data[[#This Row],[payment_mode]]="Card")),"yes","No")</f>
        <v>No</v>
      </c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</row>
    <row r="484" spans="1:28" ht="14.25" customHeight="1" x14ac:dyDescent="0.3">
      <c r="A484" s="13" t="s">
        <v>526</v>
      </c>
      <c r="B484" s="14" t="s">
        <v>24</v>
      </c>
      <c r="C484" s="14" t="s">
        <v>24</v>
      </c>
      <c r="D484" s="15" t="s">
        <v>34</v>
      </c>
      <c r="E484" s="15">
        <v>4304.7700000000004</v>
      </c>
      <c r="F484" s="5" t="str">
        <f>IF(Dmart_sales_data[[#This Row],[sales]]&gt;3000,"High Sales",IF(Dmart_sales_data[[#This Row],[sales]]&gt;1000,"Medium Sales","Low Sales"))</f>
        <v>High Sales</v>
      </c>
      <c r="G484" s="15">
        <v>0.3</v>
      </c>
      <c r="H484" s="15">
        <v>2</v>
      </c>
      <c r="I484" s="16">
        <v>45491</v>
      </c>
      <c r="J484" s="16">
        <v>45492</v>
      </c>
      <c r="K484" s="15" t="s">
        <v>32</v>
      </c>
      <c r="L484" s="15" t="s">
        <v>32</v>
      </c>
      <c r="M484" s="15" t="s">
        <v>26</v>
      </c>
      <c r="N484" s="15">
        <v>336.04</v>
      </c>
      <c r="O484" s="27" t="s">
        <v>100</v>
      </c>
      <c r="P484" s="17" t="s">
        <v>65</v>
      </c>
      <c r="Q484" s="55" t="str">
        <f>IF(AND(Dmart_sales_data[[#This Row],[customer_type2]]="Member",OR(Dmart_sales_data[[#This Row],[payment_mode]]="UPI",Dmart_sales_data[[#This Row],[payment_mode]]="Card")),"yes","No")</f>
        <v>No</v>
      </c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</row>
    <row r="485" spans="1:28" ht="14.25" customHeight="1" x14ac:dyDescent="0.3">
      <c r="A485" s="8" t="s">
        <v>527</v>
      </c>
      <c r="B485" s="9" t="s">
        <v>29</v>
      </c>
      <c r="C485" s="9" t="s">
        <v>29</v>
      </c>
      <c r="D485" s="10" t="s">
        <v>14</v>
      </c>
      <c r="E485" s="10">
        <v>892.86</v>
      </c>
      <c r="F485" s="5" t="str">
        <f>IF(Dmart_sales_data[[#This Row],[sales]]&gt;3000,"High Sales",IF(Dmart_sales_data[[#This Row],[sales]]&gt;1000,"Medium Sales","Low Sales"))</f>
        <v>Low Sales</v>
      </c>
      <c r="G485" s="10">
        <v>0.11</v>
      </c>
      <c r="H485" s="10">
        <v>1</v>
      </c>
      <c r="I485" s="11">
        <v>44959</v>
      </c>
      <c r="J485" s="11">
        <v>44962</v>
      </c>
      <c r="K485" s="10" t="s">
        <v>15</v>
      </c>
      <c r="L485" s="10" t="s">
        <v>15</v>
      </c>
      <c r="M485" s="10" t="s">
        <v>21</v>
      </c>
      <c r="N485" s="10">
        <v>74.44</v>
      </c>
      <c r="O485" s="27" t="s">
        <v>17</v>
      </c>
      <c r="P485" s="12" t="s">
        <v>95</v>
      </c>
      <c r="Q485" s="55" t="str">
        <f>IF(AND(Dmart_sales_data[[#This Row],[customer_type2]]="Member",OR(Dmart_sales_data[[#This Row],[payment_mode]]="UPI",Dmart_sales_data[[#This Row],[payment_mode]]="Card")),"yes","No")</f>
        <v>yes</v>
      </c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</row>
    <row r="486" spans="1:28" ht="14.25" customHeight="1" x14ac:dyDescent="0.3">
      <c r="A486" s="13" t="s">
        <v>528</v>
      </c>
      <c r="B486" s="14" t="s">
        <v>13</v>
      </c>
      <c r="C486" s="4" t="s">
        <v>13</v>
      </c>
      <c r="D486" s="15" t="s">
        <v>25</v>
      </c>
      <c r="E486" s="15">
        <v>3492.82</v>
      </c>
      <c r="F486" s="5" t="str">
        <f>IF(Dmart_sales_data[[#This Row],[sales]]&gt;3000,"High Sales",IF(Dmart_sales_data[[#This Row],[sales]]&gt;1000,"Medium Sales","Low Sales"))</f>
        <v>High Sales</v>
      </c>
      <c r="G486" s="15">
        <v>0.26</v>
      </c>
      <c r="H486" s="15">
        <v>9</v>
      </c>
      <c r="I486" s="16">
        <v>45203</v>
      </c>
      <c r="J486" s="16">
        <v>45205</v>
      </c>
      <c r="K486" s="15" t="s">
        <v>15</v>
      </c>
      <c r="L486" s="15" t="s">
        <v>15</v>
      </c>
      <c r="M486" s="15" t="s">
        <v>21</v>
      </c>
      <c r="N486" s="15">
        <v>317.56</v>
      </c>
      <c r="O486" s="27" t="s">
        <v>100</v>
      </c>
      <c r="P486" s="17" t="s">
        <v>63</v>
      </c>
      <c r="Q486" s="55" t="str">
        <f>IF(AND(Dmart_sales_data[[#This Row],[customer_type2]]="Member",OR(Dmart_sales_data[[#This Row],[payment_mode]]="UPI",Dmart_sales_data[[#This Row],[payment_mode]]="Card")),"yes","No")</f>
        <v>yes</v>
      </c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</row>
    <row r="487" spans="1:28" ht="14.25" customHeight="1" x14ac:dyDescent="0.3">
      <c r="A487" s="8" t="s">
        <v>529</v>
      </c>
      <c r="B487" s="9" t="s">
        <v>576</v>
      </c>
      <c r="C487" s="9" t="s">
        <v>576</v>
      </c>
      <c r="D487" s="10" t="s">
        <v>37</v>
      </c>
      <c r="E487" s="10">
        <v>4878</v>
      </c>
      <c r="F487" s="5" t="str">
        <f>IF(Dmart_sales_data[[#This Row],[sales]]&gt;3000,"High Sales",IF(Dmart_sales_data[[#This Row],[sales]]&gt;1000,"Medium Sales","Low Sales"))</f>
        <v>High Sales</v>
      </c>
      <c r="G487" s="10">
        <v>0.28999999999999998</v>
      </c>
      <c r="H487" s="10">
        <v>5</v>
      </c>
      <c r="I487" s="11">
        <v>45370</v>
      </c>
      <c r="J487" s="11">
        <v>45373</v>
      </c>
      <c r="K487" s="10" t="s">
        <v>15</v>
      </c>
      <c r="L487" s="10" t="s">
        <v>15</v>
      </c>
      <c r="M487" s="10" t="s">
        <v>26</v>
      </c>
      <c r="N487" s="10">
        <v>731.64</v>
      </c>
      <c r="O487" s="27" t="s">
        <v>100</v>
      </c>
      <c r="P487" s="12" t="s">
        <v>100</v>
      </c>
      <c r="Q487" s="55" t="str">
        <f>IF(AND(Dmart_sales_data[[#This Row],[customer_type2]]="Member",OR(Dmart_sales_data[[#This Row],[payment_mode]]="UPI",Dmart_sales_data[[#This Row],[payment_mode]]="Card")),"yes","No")</f>
        <v>No</v>
      </c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</row>
    <row r="488" spans="1:28" ht="14.25" customHeight="1" x14ac:dyDescent="0.3">
      <c r="A488" s="13" t="s">
        <v>530</v>
      </c>
      <c r="B488" s="14" t="s">
        <v>24</v>
      </c>
      <c r="C488" s="14" t="s">
        <v>24</v>
      </c>
      <c r="D488" s="15" t="s">
        <v>34</v>
      </c>
      <c r="E488" s="15">
        <v>3098.38</v>
      </c>
      <c r="F488" s="5" t="str">
        <f>IF(Dmart_sales_data[[#This Row],[sales]]&gt;3000,"High Sales",IF(Dmart_sales_data[[#This Row],[sales]]&gt;1000,"Medium Sales","Low Sales"))</f>
        <v>High Sales</v>
      </c>
      <c r="G488" s="15">
        <v>0.09</v>
      </c>
      <c r="H488" s="15">
        <v>6</v>
      </c>
      <c r="I488" s="16">
        <v>45580</v>
      </c>
      <c r="J488" s="16">
        <v>45584</v>
      </c>
      <c r="K488" s="15" t="s">
        <v>15</v>
      </c>
      <c r="L488" s="15" t="s">
        <v>15</v>
      </c>
      <c r="M488" s="15" t="s">
        <v>21</v>
      </c>
      <c r="N488" s="15">
        <v>344.48</v>
      </c>
      <c r="O488" s="27" t="s">
        <v>27</v>
      </c>
      <c r="P488" s="17" t="s">
        <v>27</v>
      </c>
      <c r="Q488" s="55" t="str">
        <f>IF(AND(Dmart_sales_data[[#This Row],[customer_type2]]="Member",OR(Dmart_sales_data[[#This Row],[payment_mode]]="UPI",Dmart_sales_data[[#This Row],[payment_mode]]="Card")),"yes","No")</f>
        <v>yes</v>
      </c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</row>
    <row r="489" spans="1:28" ht="14.25" customHeight="1" x14ac:dyDescent="0.3">
      <c r="A489" s="8" t="s">
        <v>531</v>
      </c>
      <c r="B489" s="9" t="s">
        <v>29</v>
      </c>
      <c r="C489" s="9" t="s">
        <v>29</v>
      </c>
      <c r="D489" s="10" t="s">
        <v>25</v>
      </c>
      <c r="E489" s="10">
        <v>939.69</v>
      </c>
      <c r="F489" s="5" t="str">
        <f>IF(Dmart_sales_data[[#This Row],[sales]]&gt;3000,"High Sales",IF(Dmart_sales_data[[#This Row],[sales]]&gt;1000,"Medium Sales","Low Sales"))</f>
        <v>Low Sales</v>
      </c>
      <c r="G489" s="10">
        <v>0.06</v>
      </c>
      <c r="H489" s="10">
        <v>8</v>
      </c>
      <c r="I489" s="11">
        <v>45353</v>
      </c>
      <c r="J489" s="11">
        <v>45360</v>
      </c>
      <c r="K489" s="10" t="s">
        <v>32</v>
      </c>
      <c r="L489" s="10" t="s">
        <v>32</v>
      </c>
      <c r="M489" s="10" t="s">
        <v>21</v>
      </c>
      <c r="N489" s="10">
        <v>270.99</v>
      </c>
      <c r="O489" s="27" t="s">
        <v>35</v>
      </c>
      <c r="P489" s="12" t="s">
        <v>30</v>
      </c>
      <c r="Q489" s="55" t="str">
        <f>IF(AND(Dmart_sales_data[[#This Row],[customer_type2]]="Member",OR(Dmart_sales_data[[#This Row],[payment_mode]]="UPI",Dmart_sales_data[[#This Row],[payment_mode]]="Card")),"yes","No")</f>
        <v>No</v>
      </c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</row>
    <row r="490" spans="1:28" ht="14.25" customHeight="1" x14ac:dyDescent="0.3">
      <c r="A490" s="13" t="s">
        <v>532</v>
      </c>
      <c r="B490" s="14" t="s">
        <v>13</v>
      </c>
      <c r="C490" s="4" t="s">
        <v>13</v>
      </c>
      <c r="D490" s="15" t="s">
        <v>25</v>
      </c>
      <c r="E490" s="15">
        <v>4979.32</v>
      </c>
      <c r="F490" s="5" t="str">
        <f>IF(Dmart_sales_data[[#This Row],[sales]]&gt;3000,"High Sales",IF(Dmart_sales_data[[#This Row],[sales]]&gt;1000,"Medium Sales","Low Sales"))</f>
        <v>High Sales</v>
      </c>
      <c r="G490" s="15">
        <v>0.49</v>
      </c>
      <c r="H490" s="15">
        <v>7</v>
      </c>
      <c r="I490" s="16">
        <v>45056</v>
      </c>
      <c r="J490" s="16">
        <v>45059</v>
      </c>
      <c r="K490" s="15" t="s">
        <v>15</v>
      </c>
      <c r="L490" s="15" t="s">
        <v>15</v>
      </c>
      <c r="M490" s="15" t="s">
        <v>21</v>
      </c>
      <c r="N490" s="15">
        <v>1091.53</v>
      </c>
      <c r="O490" s="27" t="s">
        <v>27</v>
      </c>
      <c r="P490" s="17" t="s">
        <v>48</v>
      </c>
      <c r="Q490" s="55" t="str">
        <f>IF(AND(Dmart_sales_data[[#This Row],[customer_type2]]="Member",OR(Dmart_sales_data[[#This Row],[payment_mode]]="UPI",Dmart_sales_data[[#This Row],[payment_mode]]="Card")),"yes","No")</f>
        <v>yes</v>
      </c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</row>
    <row r="491" spans="1:28" ht="14.25" customHeight="1" x14ac:dyDescent="0.3">
      <c r="A491" s="8" t="s">
        <v>533</v>
      </c>
      <c r="B491" s="9" t="s">
        <v>576</v>
      </c>
      <c r="C491" s="9" t="s">
        <v>576</v>
      </c>
      <c r="D491" s="10" t="s">
        <v>25</v>
      </c>
      <c r="E491" s="10">
        <v>2688.79</v>
      </c>
      <c r="F491" s="5" t="str">
        <f>IF(Dmart_sales_data[[#This Row],[sales]]&gt;3000,"High Sales",IF(Dmart_sales_data[[#This Row],[sales]]&gt;1000,"Medium Sales","Low Sales"))</f>
        <v>Medium Sales</v>
      </c>
      <c r="G491" s="10">
        <v>0.45</v>
      </c>
      <c r="H491" s="10">
        <v>7</v>
      </c>
      <c r="I491" s="11">
        <v>45222</v>
      </c>
      <c r="J491" s="11">
        <v>45229</v>
      </c>
      <c r="K491" s="10" t="s">
        <v>15</v>
      </c>
      <c r="L491" s="10" t="s">
        <v>15</v>
      </c>
      <c r="M491" s="10" t="s">
        <v>26</v>
      </c>
      <c r="N491" s="10">
        <v>264.99</v>
      </c>
      <c r="O491" s="27" t="s">
        <v>79</v>
      </c>
      <c r="P491" s="12" t="s">
        <v>79</v>
      </c>
      <c r="Q491" s="55" t="str">
        <f>IF(AND(Dmart_sales_data[[#This Row],[customer_type2]]="Member",OR(Dmart_sales_data[[#This Row],[payment_mode]]="UPI",Dmart_sales_data[[#This Row],[payment_mode]]="Card")),"yes","No")</f>
        <v>No</v>
      </c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</row>
    <row r="492" spans="1:28" ht="14.25" customHeight="1" x14ac:dyDescent="0.3">
      <c r="A492" s="13" t="s">
        <v>534</v>
      </c>
      <c r="B492" s="14" t="s">
        <v>24</v>
      </c>
      <c r="C492" s="14" t="s">
        <v>24</v>
      </c>
      <c r="D492" s="15" t="s">
        <v>25</v>
      </c>
      <c r="E492" s="15">
        <v>4216.29</v>
      </c>
      <c r="F492" s="5" t="str">
        <f>IF(Dmart_sales_data[[#This Row],[sales]]&gt;3000,"High Sales",IF(Dmart_sales_data[[#This Row],[sales]]&gt;1000,"Medium Sales","Low Sales"))</f>
        <v>High Sales</v>
      </c>
      <c r="G492" s="15">
        <v>0.33</v>
      </c>
      <c r="H492" s="15">
        <v>9</v>
      </c>
      <c r="I492" s="16">
        <v>45488</v>
      </c>
      <c r="J492" s="16">
        <v>45492</v>
      </c>
      <c r="K492" s="15" t="s">
        <v>32</v>
      </c>
      <c r="L492" s="15" t="s">
        <v>32</v>
      </c>
      <c r="M492" s="15" t="s">
        <v>26</v>
      </c>
      <c r="N492" s="15">
        <v>1058.17</v>
      </c>
      <c r="O492" s="27" t="s">
        <v>35</v>
      </c>
      <c r="P492" s="17" t="s">
        <v>30</v>
      </c>
      <c r="Q492" s="55" t="str">
        <f>IF(AND(Dmart_sales_data[[#This Row],[customer_type2]]="Member",OR(Dmart_sales_data[[#This Row],[payment_mode]]="UPI",Dmart_sales_data[[#This Row],[payment_mode]]="Card")),"yes","No")</f>
        <v>No</v>
      </c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</row>
    <row r="493" spans="1:28" ht="14.25" customHeight="1" x14ac:dyDescent="0.3">
      <c r="A493" s="8" t="s">
        <v>535</v>
      </c>
      <c r="B493" s="9" t="s">
        <v>29</v>
      </c>
      <c r="C493" s="9" t="s">
        <v>29</v>
      </c>
      <c r="D493" s="10" t="s">
        <v>14</v>
      </c>
      <c r="E493" s="10">
        <v>831.87</v>
      </c>
      <c r="F493" s="5" t="str">
        <f>IF(Dmart_sales_data[[#This Row],[sales]]&gt;3000,"High Sales",IF(Dmart_sales_data[[#This Row],[sales]]&gt;1000,"Medium Sales","Low Sales"))</f>
        <v>Low Sales</v>
      </c>
      <c r="G493" s="10">
        <v>0.43</v>
      </c>
      <c r="H493" s="10">
        <v>3</v>
      </c>
      <c r="I493" s="11">
        <v>45405</v>
      </c>
      <c r="J493" s="11">
        <v>45408</v>
      </c>
      <c r="K493" s="10" t="s">
        <v>20</v>
      </c>
      <c r="L493" s="10" t="s">
        <v>20</v>
      </c>
      <c r="M493" s="10" t="s">
        <v>26</v>
      </c>
      <c r="N493" s="10">
        <v>99.89</v>
      </c>
      <c r="O493" s="27" t="s">
        <v>41</v>
      </c>
      <c r="P493" s="12" t="s">
        <v>44</v>
      </c>
      <c r="Q493" s="55" t="str">
        <f>IF(AND(Dmart_sales_data[[#This Row],[customer_type2]]="Member",OR(Dmart_sales_data[[#This Row],[payment_mode]]="UPI",Dmart_sales_data[[#This Row],[payment_mode]]="Card")),"yes","No")</f>
        <v>No</v>
      </c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</row>
    <row r="494" spans="1:28" ht="14.25" customHeight="1" x14ac:dyDescent="0.3">
      <c r="A494" s="13" t="s">
        <v>536</v>
      </c>
      <c r="B494" s="14" t="s">
        <v>13</v>
      </c>
      <c r="C494" s="4" t="s">
        <v>13</v>
      </c>
      <c r="D494" s="15" t="s">
        <v>37</v>
      </c>
      <c r="E494" s="15">
        <v>3363.87</v>
      </c>
      <c r="F494" s="5" t="str">
        <f>IF(Dmart_sales_data[[#This Row],[sales]]&gt;3000,"High Sales",IF(Dmart_sales_data[[#This Row],[sales]]&gt;1000,"Medium Sales","Low Sales"))</f>
        <v>High Sales</v>
      </c>
      <c r="G494" s="15">
        <v>0.05</v>
      </c>
      <c r="H494" s="15">
        <v>8</v>
      </c>
      <c r="I494" s="16">
        <v>45501</v>
      </c>
      <c r="J494" s="16">
        <v>45506</v>
      </c>
      <c r="K494" s="15" t="s">
        <v>32</v>
      </c>
      <c r="L494" s="15" t="s">
        <v>32</v>
      </c>
      <c r="M494" s="15" t="s">
        <v>26</v>
      </c>
      <c r="N494" s="15">
        <v>840.81</v>
      </c>
      <c r="O494" s="27" t="s">
        <v>27</v>
      </c>
      <c r="P494" s="17" t="s">
        <v>48</v>
      </c>
      <c r="Q494" s="55" t="str">
        <f>IF(AND(Dmart_sales_data[[#This Row],[customer_type2]]="Member",OR(Dmart_sales_data[[#This Row],[payment_mode]]="UPI",Dmart_sales_data[[#This Row],[payment_mode]]="Card")),"yes","No")</f>
        <v>No</v>
      </c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</row>
    <row r="495" spans="1:28" ht="14.25" customHeight="1" x14ac:dyDescent="0.3">
      <c r="A495" s="8" t="s">
        <v>537</v>
      </c>
      <c r="B495" s="9" t="s">
        <v>576</v>
      </c>
      <c r="C495" s="9" t="s">
        <v>576</v>
      </c>
      <c r="D495" s="10" t="s">
        <v>37</v>
      </c>
      <c r="E495" s="10">
        <v>4571.83</v>
      </c>
      <c r="F495" s="5" t="str">
        <f>IF(Dmart_sales_data[[#This Row],[sales]]&gt;3000,"High Sales",IF(Dmart_sales_data[[#This Row],[sales]]&gt;1000,"Medium Sales","Low Sales"))</f>
        <v>High Sales</v>
      </c>
      <c r="G495" s="10">
        <v>0.36</v>
      </c>
      <c r="H495" s="10">
        <v>6</v>
      </c>
      <c r="I495" s="11">
        <v>45036</v>
      </c>
      <c r="J495" s="11">
        <v>45039</v>
      </c>
      <c r="K495" s="10" t="s">
        <v>20</v>
      </c>
      <c r="L495" s="10" t="s">
        <v>20</v>
      </c>
      <c r="M495" s="10" t="s">
        <v>21</v>
      </c>
      <c r="N495" s="10">
        <v>764.68</v>
      </c>
      <c r="O495" s="27" t="s">
        <v>17</v>
      </c>
      <c r="P495" s="12" t="s">
        <v>17</v>
      </c>
      <c r="Q495" s="55" t="str">
        <f>IF(AND(Dmart_sales_data[[#This Row],[customer_type2]]="Member",OR(Dmart_sales_data[[#This Row],[payment_mode]]="UPI",Dmart_sales_data[[#This Row],[payment_mode]]="Card")),"yes","No")</f>
        <v>No</v>
      </c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</row>
    <row r="496" spans="1:28" ht="14.25" customHeight="1" x14ac:dyDescent="0.3">
      <c r="A496" s="13" t="s">
        <v>538</v>
      </c>
      <c r="B496" s="14" t="s">
        <v>24</v>
      </c>
      <c r="C496" s="14" t="s">
        <v>24</v>
      </c>
      <c r="D496" s="15" t="s">
        <v>34</v>
      </c>
      <c r="E496" s="15">
        <v>2706.89</v>
      </c>
      <c r="F496" s="5" t="str">
        <f>IF(Dmart_sales_data[[#This Row],[sales]]&gt;3000,"High Sales",IF(Dmart_sales_data[[#This Row],[sales]]&gt;1000,"Medium Sales","Low Sales"))</f>
        <v>Medium Sales</v>
      </c>
      <c r="G496" s="15">
        <v>0.14000000000000001</v>
      </c>
      <c r="H496" s="15">
        <v>8</v>
      </c>
      <c r="I496" s="16">
        <v>45246</v>
      </c>
      <c r="J496" s="16">
        <v>45252</v>
      </c>
      <c r="K496" s="15" t="s">
        <v>15</v>
      </c>
      <c r="L496" s="15" t="s">
        <v>15</v>
      </c>
      <c r="M496" s="15" t="s">
        <v>26</v>
      </c>
      <c r="N496" s="15">
        <v>460.15</v>
      </c>
      <c r="O496" s="27" t="s">
        <v>79</v>
      </c>
      <c r="P496" s="17" t="s">
        <v>22</v>
      </c>
      <c r="Q496" s="55" t="str">
        <f>IF(AND(Dmart_sales_data[[#This Row],[customer_type2]]="Member",OR(Dmart_sales_data[[#This Row],[payment_mode]]="UPI",Dmart_sales_data[[#This Row],[payment_mode]]="Card")),"yes","No")</f>
        <v>No</v>
      </c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</row>
    <row r="497" spans="1:28" ht="14.25" customHeight="1" x14ac:dyDescent="0.3">
      <c r="A497" s="8" t="s">
        <v>539</v>
      </c>
      <c r="B497" s="9" t="s">
        <v>29</v>
      </c>
      <c r="C497" s="9" t="s">
        <v>29</v>
      </c>
      <c r="D497" s="10" t="s">
        <v>19</v>
      </c>
      <c r="E497" s="10">
        <v>1514.43</v>
      </c>
      <c r="F497" s="5" t="str">
        <f>IF(Dmart_sales_data[[#This Row],[sales]]&gt;3000,"High Sales",IF(Dmart_sales_data[[#This Row],[sales]]&gt;1000,"Medium Sales","Low Sales"))</f>
        <v>Medium Sales</v>
      </c>
      <c r="G497" s="10">
        <v>0.27</v>
      </c>
      <c r="H497" s="10">
        <v>4</v>
      </c>
      <c r="I497" s="11">
        <v>45104</v>
      </c>
      <c r="J497" s="11">
        <v>45106</v>
      </c>
      <c r="K497" s="10" t="s">
        <v>15</v>
      </c>
      <c r="L497" s="10" t="s">
        <v>15</v>
      </c>
      <c r="M497" s="10" t="s">
        <v>16</v>
      </c>
      <c r="N497" s="10">
        <v>220.52</v>
      </c>
      <c r="O497" s="27" t="s">
        <v>79</v>
      </c>
      <c r="P497" s="12" t="s">
        <v>22</v>
      </c>
      <c r="Q497" s="55" t="str">
        <f>IF(AND(Dmart_sales_data[[#This Row],[customer_type2]]="Member",OR(Dmart_sales_data[[#This Row],[payment_mode]]="UPI",Dmart_sales_data[[#This Row],[payment_mode]]="Card")),"yes","No")</f>
        <v>yes</v>
      </c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</row>
    <row r="498" spans="1:28" ht="14.25" customHeight="1" x14ac:dyDescent="0.3">
      <c r="A498" s="13" t="s">
        <v>540</v>
      </c>
      <c r="B498" s="14" t="s">
        <v>13</v>
      </c>
      <c r="C498" s="4" t="s">
        <v>13</v>
      </c>
      <c r="D498" s="15" t="s">
        <v>14</v>
      </c>
      <c r="E498" s="15">
        <v>724.37</v>
      </c>
      <c r="F498" s="5" t="str">
        <f>IF(Dmart_sales_data[[#This Row],[sales]]&gt;3000,"High Sales",IF(Dmart_sales_data[[#This Row],[sales]]&gt;1000,"Medium Sales","Low Sales"))</f>
        <v>Low Sales</v>
      </c>
      <c r="G498" s="15">
        <v>0.38</v>
      </c>
      <c r="H498" s="15">
        <v>1</v>
      </c>
      <c r="I498" s="16">
        <v>45320</v>
      </c>
      <c r="J498" s="16">
        <v>45327</v>
      </c>
      <c r="K498" s="15" t="s">
        <v>20</v>
      </c>
      <c r="L498" s="15" t="s">
        <v>20</v>
      </c>
      <c r="M498" s="15" t="s">
        <v>16</v>
      </c>
      <c r="N498" s="15">
        <v>80.92</v>
      </c>
      <c r="O498" s="27" t="s">
        <v>17</v>
      </c>
      <c r="P498" s="17" t="s">
        <v>95</v>
      </c>
      <c r="Q498" s="55" t="str">
        <f>IF(AND(Dmart_sales_data[[#This Row],[customer_type2]]="Member",OR(Dmart_sales_data[[#This Row],[payment_mode]]="UPI",Dmart_sales_data[[#This Row],[payment_mode]]="Card")),"yes","No")</f>
        <v>No</v>
      </c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</row>
    <row r="499" spans="1:28" ht="14.25" customHeight="1" x14ac:dyDescent="0.3">
      <c r="A499" s="8" t="s">
        <v>541</v>
      </c>
      <c r="B499" s="9" t="s">
        <v>576</v>
      </c>
      <c r="C499" s="9" t="s">
        <v>576</v>
      </c>
      <c r="D499" s="10" t="s">
        <v>34</v>
      </c>
      <c r="E499" s="10">
        <v>1550.13</v>
      </c>
      <c r="F499" s="5" t="str">
        <f>IF(Dmart_sales_data[[#This Row],[sales]]&gt;3000,"High Sales",IF(Dmart_sales_data[[#This Row],[sales]]&gt;1000,"Medium Sales","Low Sales"))</f>
        <v>Medium Sales</v>
      </c>
      <c r="G499" s="10">
        <v>0.02</v>
      </c>
      <c r="H499" s="10">
        <v>3</v>
      </c>
      <c r="I499" s="11">
        <v>45170</v>
      </c>
      <c r="J499" s="11">
        <v>45172</v>
      </c>
      <c r="K499" s="10" t="s">
        <v>15</v>
      </c>
      <c r="L499" s="10" t="s">
        <v>15</v>
      </c>
      <c r="M499" s="10" t="s">
        <v>16</v>
      </c>
      <c r="N499" s="10">
        <v>343.75</v>
      </c>
      <c r="O499" s="27" t="s">
        <v>17</v>
      </c>
      <c r="P499" s="12" t="s">
        <v>95</v>
      </c>
      <c r="Q499" s="55" t="str">
        <f>IF(AND(Dmart_sales_data[[#This Row],[customer_type2]]="Member",OR(Dmart_sales_data[[#This Row],[payment_mode]]="UPI",Dmart_sales_data[[#This Row],[payment_mode]]="Card")),"yes","No")</f>
        <v>yes</v>
      </c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</row>
    <row r="500" spans="1:28" ht="14.25" customHeight="1" x14ac:dyDescent="0.3">
      <c r="A500" s="1"/>
      <c r="B500" s="2"/>
      <c r="C500" s="2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8" ht="14.25" customHeight="1" x14ac:dyDescent="0.3">
      <c r="A501" s="1"/>
      <c r="B501" s="2"/>
      <c r="C501" s="2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8" ht="14.25" customHeight="1" x14ac:dyDescent="0.3">
      <c r="A502" s="1"/>
      <c r="B502" s="2"/>
      <c r="C502" s="2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8" ht="14.25" customHeight="1" x14ac:dyDescent="0.3">
      <c r="A503" s="1"/>
      <c r="B503" s="2"/>
      <c r="C503" s="2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8" ht="14.25" customHeight="1" x14ac:dyDescent="0.3">
      <c r="A504" s="1"/>
      <c r="B504" s="2"/>
      <c r="C504" s="2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8" ht="14.25" customHeight="1" x14ac:dyDescent="0.3">
      <c r="A505" s="1"/>
      <c r="B505" s="2"/>
      <c r="C505" s="2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8" ht="14.25" customHeight="1" x14ac:dyDescent="0.3">
      <c r="A506" s="1"/>
      <c r="B506" s="2"/>
      <c r="C506" s="2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8" ht="14.25" customHeight="1" x14ac:dyDescent="0.3">
      <c r="A507" s="1"/>
      <c r="B507" s="2"/>
      <c r="C507" s="2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8" ht="14.25" customHeight="1" x14ac:dyDescent="0.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8" ht="14.25" customHeight="1" x14ac:dyDescent="0.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8" ht="14.25" customHeight="1" x14ac:dyDescent="0.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8" ht="14.25" customHeight="1" x14ac:dyDescent="0.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8" ht="14.25" customHeight="1" x14ac:dyDescent="0.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4.25" customHeight="1" x14ac:dyDescent="0.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4.25" customHeight="1" x14ac:dyDescent="0.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4.25" customHeight="1" x14ac:dyDescent="0.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4.25" customHeight="1" x14ac:dyDescent="0.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4.25" customHeight="1" x14ac:dyDescent="0.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4.25" customHeight="1" x14ac:dyDescent="0.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4.25" customHeight="1" x14ac:dyDescent="0.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4.25" customHeight="1" x14ac:dyDescent="0.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4.25" customHeight="1" x14ac:dyDescent="0.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4.25" customHeight="1" x14ac:dyDescent="0.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4.25" customHeight="1" x14ac:dyDescent="0.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4.25" customHeight="1" x14ac:dyDescent="0.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4.25" customHeight="1" x14ac:dyDescent="0.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4.25" customHeight="1" x14ac:dyDescent="0.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4.25" customHeight="1" x14ac:dyDescent="0.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4.25" customHeight="1" x14ac:dyDescent="0.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4.25" customHeight="1" x14ac:dyDescent="0.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4.25" customHeight="1" x14ac:dyDescent="0.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4.25" customHeight="1" x14ac:dyDescent="0.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4.25" customHeight="1" x14ac:dyDescent="0.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4.25" customHeight="1" x14ac:dyDescent="0.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4.25" customHeight="1" x14ac:dyDescent="0.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4.25" customHeight="1" x14ac:dyDescent="0.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4.25" customHeight="1" x14ac:dyDescent="0.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4.25" customHeight="1" x14ac:dyDescent="0.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4.25" customHeight="1" x14ac:dyDescent="0.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4.25" customHeight="1" x14ac:dyDescent="0.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4.25" customHeight="1" x14ac:dyDescent="0.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4.25" customHeight="1" x14ac:dyDescent="0.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4.25" customHeight="1" x14ac:dyDescent="0.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4.25" customHeight="1" x14ac:dyDescent="0.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4.25" customHeight="1" x14ac:dyDescent="0.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4.25" customHeight="1" x14ac:dyDescent="0.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4.25" customHeight="1" x14ac:dyDescent="0.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4.25" customHeight="1" x14ac:dyDescent="0.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4.25" customHeight="1" x14ac:dyDescent="0.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4.25" customHeight="1" x14ac:dyDescent="0.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4.25" customHeight="1" x14ac:dyDescent="0.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4.25" customHeight="1" x14ac:dyDescent="0.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4.25" customHeight="1" x14ac:dyDescent="0.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4.25" customHeight="1" x14ac:dyDescent="0.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4.25" customHeight="1" x14ac:dyDescent="0.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4.25" customHeight="1" x14ac:dyDescent="0.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4.25" customHeight="1" x14ac:dyDescent="0.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4.25" customHeight="1" x14ac:dyDescent="0.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4.25" customHeight="1" x14ac:dyDescent="0.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4.25" customHeight="1" x14ac:dyDescent="0.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4.25" customHeight="1" x14ac:dyDescent="0.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4.25" customHeight="1" x14ac:dyDescent="0.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4.25" customHeight="1" x14ac:dyDescent="0.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4.25" customHeight="1" x14ac:dyDescent="0.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4.25" customHeight="1" x14ac:dyDescent="0.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4.25" customHeight="1" x14ac:dyDescent="0.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4.25" customHeight="1" x14ac:dyDescent="0.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4.25" customHeight="1" x14ac:dyDescent="0.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4.25" customHeight="1" x14ac:dyDescent="0.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4.25" customHeight="1" x14ac:dyDescent="0.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4.25" customHeight="1" x14ac:dyDescent="0.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4.25" customHeight="1" x14ac:dyDescent="0.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4.25" customHeight="1" x14ac:dyDescent="0.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4.25" customHeight="1" x14ac:dyDescent="0.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4.25" customHeight="1" x14ac:dyDescent="0.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4.25" customHeight="1" x14ac:dyDescent="0.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4.25" customHeight="1" x14ac:dyDescent="0.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4.25" customHeight="1" x14ac:dyDescent="0.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4.25" customHeight="1" x14ac:dyDescent="0.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4.25" customHeight="1" x14ac:dyDescent="0.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4.25" customHeight="1" x14ac:dyDescent="0.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4.25" customHeight="1" x14ac:dyDescent="0.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4.25" customHeight="1" x14ac:dyDescent="0.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4.25" customHeight="1" x14ac:dyDescent="0.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4.25" customHeight="1" x14ac:dyDescent="0.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4.25" customHeight="1" x14ac:dyDescent="0.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4.25" customHeight="1" x14ac:dyDescent="0.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4.25" customHeight="1" x14ac:dyDescent="0.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4.25" customHeight="1" x14ac:dyDescent="0.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4.25" customHeight="1" x14ac:dyDescent="0.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4.25" customHeight="1" x14ac:dyDescent="0.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4.25" customHeight="1" x14ac:dyDescent="0.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4.25" customHeight="1" x14ac:dyDescent="0.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4.25" customHeight="1" x14ac:dyDescent="0.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4.25" customHeight="1" x14ac:dyDescent="0.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4.25" customHeight="1" x14ac:dyDescent="0.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4.25" customHeight="1" x14ac:dyDescent="0.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4.25" customHeight="1" x14ac:dyDescent="0.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4.25" customHeight="1" x14ac:dyDescent="0.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4.25" customHeight="1" x14ac:dyDescent="0.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4.25" customHeight="1" x14ac:dyDescent="0.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4.25" customHeight="1" x14ac:dyDescent="0.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4.25" customHeight="1" x14ac:dyDescent="0.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4.25" customHeight="1" x14ac:dyDescent="0.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4.25" customHeight="1" x14ac:dyDescent="0.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4.25" customHeight="1" x14ac:dyDescent="0.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4.25" customHeight="1" x14ac:dyDescent="0.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4.25" customHeight="1" x14ac:dyDescent="0.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4.25" customHeight="1" x14ac:dyDescent="0.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4.25" customHeight="1" x14ac:dyDescent="0.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4.25" customHeight="1" x14ac:dyDescent="0.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4.25" customHeight="1" x14ac:dyDescent="0.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4.25" customHeight="1" x14ac:dyDescent="0.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4.25" customHeight="1" x14ac:dyDescent="0.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4.25" customHeight="1" x14ac:dyDescent="0.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4.25" customHeight="1" x14ac:dyDescent="0.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4.25" customHeight="1" x14ac:dyDescent="0.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4.25" customHeight="1" x14ac:dyDescent="0.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4.25" customHeight="1" x14ac:dyDescent="0.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4.25" customHeight="1" x14ac:dyDescent="0.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4.25" customHeight="1" x14ac:dyDescent="0.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4.25" customHeight="1" x14ac:dyDescent="0.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4.25" customHeight="1" x14ac:dyDescent="0.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4.25" customHeight="1" x14ac:dyDescent="0.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4.25" customHeight="1" x14ac:dyDescent="0.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4.25" customHeight="1" x14ac:dyDescent="0.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4.25" customHeight="1" x14ac:dyDescent="0.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4.25" customHeight="1" x14ac:dyDescent="0.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4.25" customHeight="1" x14ac:dyDescent="0.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4.25" customHeight="1" x14ac:dyDescent="0.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4.25" customHeight="1" x14ac:dyDescent="0.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4.25" customHeight="1" x14ac:dyDescent="0.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4.25" customHeight="1" x14ac:dyDescent="0.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4.25" customHeight="1" x14ac:dyDescent="0.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4.25" customHeight="1" x14ac:dyDescent="0.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4.25" customHeight="1" x14ac:dyDescent="0.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4.25" customHeight="1" x14ac:dyDescent="0.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4.25" customHeight="1" x14ac:dyDescent="0.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4.25" customHeight="1" x14ac:dyDescent="0.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4.25" customHeight="1" x14ac:dyDescent="0.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4.25" customHeight="1" x14ac:dyDescent="0.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4.25" customHeight="1" x14ac:dyDescent="0.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4.25" customHeight="1" x14ac:dyDescent="0.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4.25" customHeight="1" x14ac:dyDescent="0.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4.25" customHeight="1" x14ac:dyDescent="0.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4.25" customHeight="1" x14ac:dyDescent="0.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4.25" customHeight="1" x14ac:dyDescent="0.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4.25" customHeight="1" x14ac:dyDescent="0.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4.25" customHeight="1" x14ac:dyDescent="0.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4.25" customHeight="1" x14ac:dyDescent="0.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4.25" customHeight="1" x14ac:dyDescent="0.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4.25" customHeight="1" x14ac:dyDescent="0.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4.25" customHeight="1" x14ac:dyDescent="0.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4.25" customHeight="1" x14ac:dyDescent="0.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4.25" customHeight="1" x14ac:dyDescent="0.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4.25" customHeight="1" x14ac:dyDescent="0.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4.25" customHeight="1" x14ac:dyDescent="0.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4.25" customHeight="1" x14ac:dyDescent="0.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4.25" customHeight="1" x14ac:dyDescent="0.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4.25" customHeight="1" x14ac:dyDescent="0.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4.25" customHeight="1" x14ac:dyDescent="0.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4.25" customHeight="1" x14ac:dyDescent="0.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4.25" customHeight="1" x14ac:dyDescent="0.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4.25" customHeight="1" x14ac:dyDescent="0.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4.25" customHeight="1" x14ac:dyDescent="0.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4.25" customHeight="1" x14ac:dyDescent="0.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4.25" customHeight="1" x14ac:dyDescent="0.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4.25" customHeight="1" x14ac:dyDescent="0.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4.25" customHeight="1" x14ac:dyDescent="0.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4.25" customHeight="1" x14ac:dyDescent="0.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4.25" customHeight="1" x14ac:dyDescent="0.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4.25" customHeight="1" x14ac:dyDescent="0.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4.25" customHeight="1" x14ac:dyDescent="0.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4.25" customHeight="1" x14ac:dyDescent="0.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4.25" customHeight="1" x14ac:dyDescent="0.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4.25" customHeight="1" x14ac:dyDescent="0.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4.25" customHeight="1" x14ac:dyDescent="0.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4.25" customHeight="1" x14ac:dyDescent="0.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4.25" customHeight="1" x14ac:dyDescent="0.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4.25" customHeight="1" x14ac:dyDescent="0.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4.25" customHeight="1" x14ac:dyDescent="0.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4.25" customHeight="1" x14ac:dyDescent="0.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4.25" customHeight="1" x14ac:dyDescent="0.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4.25" customHeight="1" x14ac:dyDescent="0.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4.25" customHeight="1" x14ac:dyDescent="0.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4.25" customHeight="1" x14ac:dyDescent="0.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4.25" customHeight="1" x14ac:dyDescent="0.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4.25" customHeight="1" x14ac:dyDescent="0.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4.25" customHeight="1" x14ac:dyDescent="0.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4.25" customHeight="1" x14ac:dyDescent="0.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4.25" customHeight="1" x14ac:dyDescent="0.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4.25" customHeight="1" x14ac:dyDescent="0.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4.25" customHeight="1" x14ac:dyDescent="0.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4.25" customHeight="1" x14ac:dyDescent="0.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4.25" customHeight="1" x14ac:dyDescent="0.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4.25" customHeight="1" x14ac:dyDescent="0.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4.25" customHeight="1" x14ac:dyDescent="0.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4.25" customHeight="1" x14ac:dyDescent="0.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4.25" customHeight="1" x14ac:dyDescent="0.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4.25" customHeight="1" x14ac:dyDescent="0.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4.25" customHeight="1" x14ac:dyDescent="0.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4.25" customHeight="1" x14ac:dyDescent="0.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4.25" customHeight="1" x14ac:dyDescent="0.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4.25" customHeight="1" x14ac:dyDescent="0.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4.25" customHeight="1" x14ac:dyDescent="0.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4.25" customHeight="1" x14ac:dyDescent="0.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4.25" customHeight="1" x14ac:dyDescent="0.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4.25" customHeight="1" x14ac:dyDescent="0.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4.25" customHeight="1" x14ac:dyDescent="0.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4.25" customHeight="1" x14ac:dyDescent="0.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4.25" customHeight="1" x14ac:dyDescent="0.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4.25" customHeight="1" x14ac:dyDescent="0.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4.25" customHeight="1" x14ac:dyDescent="0.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4.25" customHeight="1" x14ac:dyDescent="0.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4.25" customHeight="1" x14ac:dyDescent="0.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4.25" customHeight="1" x14ac:dyDescent="0.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4.25" customHeight="1" x14ac:dyDescent="0.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4.25" customHeight="1" x14ac:dyDescent="0.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4.25" customHeight="1" x14ac:dyDescent="0.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4.25" customHeight="1" x14ac:dyDescent="0.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4.25" customHeight="1" x14ac:dyDescent="0.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4.25" customHeight="1" x14ac:dyDescent="0.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4.25" customHeight="1" x14ac:dyDescent="0.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4.25" customHeight="1" x14ac:dyDescent="0.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4.25" customHeight="1" x14ac:dyDescent="0.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4.25" customHeight="1" x14ac:dyDescent="0.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4.25" customHeight="1" x14ac:dyDescent="0.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4.25" customHeight="1" x14ac:dyDescent="0.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4.25" customHeight="1" x14ac:dyDescent="0.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4.25" customHeight="1" x14ac:dyDescent="0.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4.25" customHeight="1" x14ac:dyDescent="0.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4.25" customHeight="1" x14ac:dyDescent="0.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4.25" customHeight="1" x14ac:dyDescent="0.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4.25" customHeight="1" x14ac:dyDescent="0.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4.25" customHeight="1" x14ac:dyDescent="0.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4.25" customHeight="1" x14ac:dyDescent="0.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4.25" customHeight="1" x14ac:dyDescent="0.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4.25" customHeight="1" x14ac:dyDescent="0.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4.25" customHeight="1" x14ac:dyDescent="0.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4.25" customHeight="1" x14ac:dyDescent="0.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4.25" customHeight="1" x14ac:dyDescent="0.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4.25" customHeight="1" x14ac:dyDescent="0.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4.25" customHeight="1" x14ac:dyDescent="0.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4.25" customHeight="1" x14ac:dyDescent="0.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4.25" customHeight="1" x14ac:dyDescent="0.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4.25" customHeight="1" x14ac:dyDescent="0.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4.25" customHeight="1" x14ac:dyDescent="0.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4.25" customHeight="1" x14ac:dyDescent="0.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4.25" customHeight="1" x14ac:dyDescent="0.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4.25" customHeight="1" x14ac:dyDescent="0.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4.25" customHeight="1" x14ac:dyDescent="0.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4.25" customHeight="1" x14ac:dyDescent="0.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4.25" customHeight="1" x14ac:dyDescent="0.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4.25" customHeight="1" x14ac:dyDescent="0.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4.25" customHeight="1" x14ac:dyDescent="0.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4.25" customHeight="1" x14ac:dyDescent="0.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4.25" customHeight="1" x14ac:dyDescent="0.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4.25" customHeight="1" x14ac:dyDescent="0.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4.25" customHeight="1" x14ac:dyDescent="0.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4.25" customHeight="1" x14ac:dyDescent="0.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4.25" customHeight="1" x14ac:dyDescent="0.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4.25" customHeight="1" x14ac:dyDescent="0.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4.25" customHeight="1" x14ac:dyDescent="0.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4.25" customHeight="1" x14ac:dyDescent="0.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4.25" customHeight="1" x14ac:dyDescent="0.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4.25" customHeight="1" x14ac:dyDescent="0.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4.25" customHeight="1" x14ac:dyDescent="0.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4.25" customHeight="1" x14ac:dyDescent="0.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4.25" customHeight="1" x14ac:dyDescent="0.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4.25" customHeight="1" x14ac:dyDescent="0.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4.25" customHeight="1" x14ac:dyDescent="0.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4.25" customHeight="1" x14ac:dyDescent="0.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4.25" customHeight="1" x14ac:dyDescent="0.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4.25" customHeight="1" x14ac:dyDescent="0.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4.25" customHeight="1" x14ac:dyDescent="0.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4.25" customHeight="1" x14ac:dyDescent="0.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4.25" customHeight="1" x14ac:dyDescent="0.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4.25" customHeight="1" x14ac:dyDescent="0.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4.25" customHeight="1" x14ac:dyDescent="0.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4.25" customHeight="1" x14ac:dyDescent="0.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4.25" customHeight="1" x14ac:dyDescent="0.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4.25" customHeight="1" x14ac:dyDescent="0.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4.25" customHeight="1" x14ac:dyDescent="0.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4.25" customHeight="1" x14ac:dyDescent="0.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4.25" customHeight="1" x14ac:dyDescent="0.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4.25" customHeight="1" x14ac:dyDescent="0.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4.25" customHeight="1" x14ac:dyDescent="0.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4.25" customHeight="1" x14ac:dyDescent="0.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4.25" customHeight="1" x14ac:dyDescent="0.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4.25" customHeight="1" x14ac:dyDescent="0.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4.25" customHeight="1" x14ac:dyDescent="0.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4.25" customHeight="1" x14ac:dyDescent="0.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4.25" customHeight="1" x14ac:dyDescent="0.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4.25" customHeight="1" x14ac:dyDescent="0.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4.25" customHeight="1" x14ac:dyDescent="0.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4.25" customHeight="1" x14ac:dyDescent="0.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4.25" customHeight="1" x14ac:dyDescent="0.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4.25" customHeight="1" x14ac:dyDescent="0.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4.25" customHeight="1" x14ac:dyDescent="0.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4.25" customHeight="1" x14ac:dyDescent="0.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4.25" customHeight="1" x14ac:dyDescent="0.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4.25" customHeight="1" x14ac:dyDescent="0.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4.25" customHeight="1" x14ac:dyDescent="0.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4.25" customHeight="1" x14ac:dyDescent="0.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4.25" customHeight="1" x14ac:dyDescent="0.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4.25" customHeight="1" x14ac:dyDescent="0.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4.25" customHeight="1" x14ac:dyDescent="0.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4.25" customHeight="1" x14ac:dyDescent="0.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4.25" customHeight="1" x14ac:dyDescent="0.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4.25" customHeight="1" x14ac:dyDescent="0.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4.25" customHeight="1" x14ac:dyDescent="0.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4.25" customHeight="1" x14ac:dyDescent="0.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4.25" customHeight="1" x14ac:dyDescent="0.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4.25" customHeight="1" x14ac:dyDescent="0.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4.25" customHeight="1" x14ac:dyDescent="0.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4.25" customHeight="1" x14ac:dyDescent="0.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4.25" customHeight="1" x14ac:dyDescent="0.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4.25" customHeight="1" x14ac:dyDescent="0.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4.25" customHeight="1" x14ac:dyDescent="0.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4.25" customHeight="1" x14ac:dyDescent="0.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4.25" customHeight="1" x14ac:dyDescent="0.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4.25" customHeight="1" x14ac:dyDescent="0.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4.25" customHeight="1" x14ac:dyDescent="0.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4.25" customHeight="1" x14ac:dyDescent="0.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4.25" customHeight="1" x14ac:dyDescent="0.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4.25" customHeight="1" x14ac:dyDescent="0.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4.25" customHeight="1" x14ac:dyDescent="0.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4.25" customHeight="1" x14ac:dyDescent="0.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4.25" customHeight="1" x14ac:dyDescent="0.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4.25" customHeight="1" x14ac:dyDescent="0.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4.25" customHeight="1" x14ac:dyDescent="0.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4.25" customHeight="1" x14ac:dyDescent="0.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4.25" customHeight="1" x14ac:dyDescent="0.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4.25" customHeight="1" x14ac:dyDescent="0.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4.25" customHeight="1" x14ac:dyDescent="0.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4.25" customHeight="1" x14ac:dyDescent="0.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4.25" customHeight="1" x14ac:dyDescent="0.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4.25" customHeight="1" x14ac:dyDescent="0.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4.25" customHeight="1" x14ac:dyDescent="0.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4.25" customHeight="1" x14ac:dyDescent="0.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4.25" customHeight="1" x14ac:dyDescent="0.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4.25" customHeight="1" x14ac:dyDescent="0.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4.25" customHeight="1" x14ac:dyDescent="0.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4.25" customHeight="1" x14ac:dyDescent="0.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4.25" customHeight="1" x14ac:dyDescent="0.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4.25" customHeight="1" x14ac:dyDescent="0.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4.25" customHeight="1" x14ac:dyDescent="0.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4.25" customHeight="1" x14ac:dyDescent="0.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4.25" customHeight="1" x14ac:dyDescent="0.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4.25" customHeight="1" x14ac:dyDescent="0.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4.25" customHeight="1" x14ac:dyDescent="0.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4.25" customHeight="1" x14ac:dyDescent="0.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4.25" customHeight="1" x14ac:dyDescent="0.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4.25" customHeight="1" x14ac:dyDescent="0.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4.25" customHeight="1" x14ac:dyDescent="0.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4.25" customHeight="1" x14ac:dyDescent="0.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4.25" customHeight="1" x14ac:dyDescent="0.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4.25" customHeight="1" x14ac:dyDescent="0.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4.25" customHeight="1" x14ac:dyDescent="0.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4.25" customHeight="1" x14ac:dyDescent="0.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4.25" customHeight="1" x14ac:dyDescent="0.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4.25" customHeight="1" x14ac:dyDescent="0.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4.25" customHeight="1" x14ac:dyDescent="0.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4.25" customHeight="1" x14ac:dyDescent="0.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4.25" customHeight="1" x14ac:dyDescent="0.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4.25" customHeight="1" x14ac:dyDescent="0.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4.25" customHeight="1" x14ac:dyDescent="0.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4.25" customHeight="1" x14ac:dyDescent="0.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4.25" customHeight="1" x14ac:dyDescent="0.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4.25" customHeight="1" x14ac:dyDescent="0.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4.25" customHeight="1" x14ac:dyDescent="0.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4.25" customHeight="1" x14ac:dyDescent="0.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4.25" customHeight="1" x14ac:dyDescent="0.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4.25" customHeight="1" x14ac:dyDescent="0.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4.25" customHeight="1" x14ac:dyDescent="0.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4.25" customHeight="1" x14ac:dyDescent="0.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4.25" customHeight="1" x14ac:dyDescent="0.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4.25" customHeight="1" x14ac:dyDescent="0.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4.25" customHeight="1" x14ac:dyDescent="0.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4.25" customHeight="1" x14ac:dyDescent="0.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4.25" customHeight="1" x14ac:dyDescent="0.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4.25" customHeight="1" x14ac:dyDescent="0.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4.25" customHeight="1" x14ac:dyDescent="0.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4.25" customHeight="1" x14ac:dyDescent="0.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4.25" customHeight="1" x14ac:dyDescent="0.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4.25" customHeight="1" x14ac:dyDescent="0.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4.25" customHeight="1" x14ac:dyDescent="0.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4.25" customHeight="1" x14ac:dyDescent="0.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4.25" customHeight="1" x14ac:dyDescent="0.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4.25" customHeight="1" x14ac:dyDescent="0.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4.25" customHeight="1" x14ac:dyDescent="0.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4.25" customHeight="1" x14ac:dyDescent="0.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4.25" customHeight="1" x14ac:dyDescent="0.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4.25" customHeight="1" x14ac:dyDescent="0.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4.25" customHeight="1" x14ac:dyDescent="0.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4.25" customHeight="1" x14ac:dyDescent="0.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4.25" customHeight="1" x14ac:dyDescent="0.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4.25" customHeight="1" x14ac:dyDescent="0.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4.25" customHeight="1" x14ac:dyDescent="0.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4.25" customHeight="1" x14ac:dyDescent="0.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4.25" customHeight="1" x14ac:dyDescent="0.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4.25" customHeight="1" x14ac:dyDescent="0.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4.25" customHeight="1" x14ac:dyDescent="0.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4.25" customHeight="1" x14ac:dyDescent="0.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4.25" customHeight="1" x14ac:dyDescent="0.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4.25" customHeight="1" x14ac:dyDescent="0.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4.25" customHeight="1" x14ac:dyDescent="0.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4.25" customHeight="1" x14ac:dyDescent="0.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4.25" customHeight="1" x14ac:dyDescent="0.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4.25" customHeight="1" x14ac:dyDescent="0.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4.25" customHeight="1" x14ac:dyDescent="0.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4.25" customHeight="1" x14ac:dyDescent="0.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4.25" customHeight="1" x14ac:dyDescent="0.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4.25" customHeight="1" x14ac:dyDescent="0.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4.25" customHeight="1" x14ac:dyDescent="0.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4.25" customHeight="1" x14ac:dyDescent="0.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4.25" customHeight="1" x14ac:dyDescent="0.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4.25" customHeight="1" x14ac:dyDescent="0.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4.25" customHeight="1" x14ac:dyDescent="0.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4.25" customHeight="1" x14ac:dyDescent="0.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4.25" customHeight="1" x14ac:dyDescent="0.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4.25" customHeight="1" x14ac:dyDescent="0.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4.25" customHeight="1" x14ac:dyDescent="0.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4.25" customHeight="1" x14ac:dyDescent="0.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4.25" customHeight="1" x14ac:dyDescent="0.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4.25" customHeight="1" x14ac:dyDescent="0.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4.25" customHeight="1" x14ac:dyDescent="0.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4.25" customHeight="1" x14ac:dyDescent="0.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4.25" customHeight="1" x14ac:dyDescent="0.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4.25" customHeight="1" x14ac:dyDescent="0.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4.25" customHeight="1" x14ac:dyDescent="0.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4.25" customHeight="1" x14ac:dyDescent="0.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4.25" customHeight="1" x14ac:dyDescent="0.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4.25" customHeight="1" x14ac:dyDescent="0.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4.25" customHeight="1" x14ac:dyDescent="0.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4.25" customHeight="1" x14ac:dyDescent="0.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4.25" customHeight="1" x14ac:dyDescent="0.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4.25" customHeight="1" x14ac:dyDescent="0.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4.25" customHeight="1" x14ac:dyDescent="0.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4.25" customHeight="1" x14ac:dyDescent="0.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4.25" customHeight="1" x14ac:dyDescent="0.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4.25" customHeight="1" x14ac:dyDescent="0.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4.25" customHeight="1" x14ac:dyDescent="0.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4.25" customHeight="1" x14ac:dyDescent="0.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4.25" customHeight="1" x14ac:dyDescent="0.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4.25" customHeight="1" x14ac:dyDescent="0.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4.25" customHeight="1" x14ac:dyDescent="0.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4.25" customHeight="1" x14ac:dyDescent="0.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4.25" customHeight="1" x14ac:dyDescent="0.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4.25" customHeight="1" x14ac:dyDescent="0.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4.25" customHeight="1" x14ac:dyDescent="0.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4.25" customHeight="1" x14ac:dyDescent="0.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4.25" customHeight="1" x14ac:dyDescent="0.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4.25" customHeight="1" x14ac:dyDescent="0.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4.25" customHeight="1" x14ac:dyDescent="0.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4.25" customHeight="1" x14ac:dyDescent="0.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4.25" customHeight="1" x14ac:dyDescent="0.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4.25" customHeight="1" x14ac:dyDescent="0.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4.25" customHeight="1" x14ac:dyDescent="0.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4.25" customHeight="1" x14ac:dyDescent="0.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4.25" customHeight="1" x14ac:dyDescent="0.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4.25" customHeight="1" x14ac:dyDescent="0.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4.25" customHeight="1" x14ac:dyDescent="0.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4.25" customHeight="1" x14ac:dyDescent="0.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4.25" customHeight="1" x14ac:dyDescent="0.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4.25" customHeight="1" x14ac:dyDescent="0.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4.25" customHeight="1" x14ac:dyDescent="0.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4.25" customHeight="1" x14ac:dyDescent="0.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4.25" customHeight="1" x14ac:dyDescent="0.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4.25" customHeight="1" x14ac:dyDescent="0.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4.25" customHeight="1" x14ac:dyDescent="0.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4.25" customHeight="1" x14ac:dyDescent="0.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4.25" customHeight="1" x14ac:dyDescent="0.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4.25" customHeight="1" x14ac:dyDescent="0.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4.25" customHeight="1" x14ac:dyDescent="0.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4.25" customHeight="1" x14ac:dyDescent="0.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4.25" customHeight="1" x14ac:dyDescent="0.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4.25" customHeight="1" x14ac:dyDescent="0.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4.25" customHeight="1" x14ac:dyDescent="0.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4.25" customHeight="1" x14ac:dyDescent="0.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4.25" customHeight="1" x14ac:dyDescent="0.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4.25" customHeight="1" x14ac:dyDescent="0.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4.25" customHeight="1" x14ac:dyDescent="0.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4.25" customHeight="1" x14ac:dyDescent="0.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4.25" customHeight="1" x14ac:dyDescent="0.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4.25" customHeight="1" x14ac:dyDescent="0.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4.25" customHeight="1" x14ac:dyDescent="0.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4.25" customHeight="1" x14ac:dyDescent="0.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4.25" customHeight="1" x14ac:dyDescent="0.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4.25" customHeight="1" x14ac:dyDescent="0.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4.25" customHeight="1" x14ac:dyDescent="0.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4.25" customHeight="1" x14ac:dyDescent="0.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4.25" customHeight="1" x14ac:dyDescent="0.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4.25" customHeight="1" x14ac:dyDescent="0.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4.25" customHeight="1" x14ac:dyDescent="0.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4.25" customHeight="1" x14ac:dyDescent="0.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4.25" customHeight="1" x14ac:dyDescent="0.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4.25" customHeight="1" x14ac:dyDescent="0.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4.25" customHeight="1" x14ac:dyDescent="0.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4.25" customHeight="1" x14ac:dyDescent="0.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4.25" customHeight="1" x14ac:dyDescent="0.3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honeticPr fontId="6" type="noConversion"/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199D8-C254-48C0-AC5F-ADDEC91F4A49}">
  <dimension ref="A1:G5"/>
  <sheetViews>
    <sheetView zoomScale="198" zoomScaleNormal="198" workbookViewId="0">
      <selection sqref="A1:G1"/>
    </sheetView>
  </sheetViews>
  <sheetFormatPr defaultRowHeight="14.4" x14ac:dyDescent="0.3"/>
  <cols>
    <col min="1" max="1" width="11" customWidth="1"/>
    <col min="2" max="2" width="10.77734375" customWidth="1"/>
    <col min="3" max="3" width="14.77734375" bestFit="1" customWidth="1"/>
    <col min="4" max="4" width="16.5546875" bestFit="1" customWidth="1"/>
    <col min="5" max="5" width="10.77734375" customWidth="1"/>
    <col min="6" max="6" width="12.6640625" bestFit="1" customWidth="1"/>
    <col min="7" max="7" width="10.33203125" customWidth="1"/>
  </cols>
  <sheetData>
    <row r="1" spans="1:7" x14ac:dyDescent="0.3">
      <c r="A1" s="30" t="s">
        <v>545</v>
      </c>
      <c r="B1" s="30" t="s">
        <v>546</v>
      </c>
      <c r="C1" s="30" t="s">
        <v>547</v>
      </c>
      <c r="D1" s="30" t="s">
        <v>560</v>
      </c>
      <c r="E1" s="30" t="s">
        <v>565</v>
      </c>
      <c r="F1" s="30" t="s">
        <v>570</v>
      </c>
      <c r="G1" s="30" t="s">
        <v>575</v>
      </c>
    </row>
    <row r="2" spans="1:7" x14ac:dyDescent="0.3">
      <c r="A2" t="s">
        <v>548</v>
      </c>
      <c r="B2" t="s">
        <v>549</v>
      </c>
      <c r="C2" t="s">
        <v>550</v>
      </c>
      <c r="D2" s="29" t="s">
        <v>561</v>
      </c>
      <c r="E2" t="s">
        <v>566</v>
      </c>
      <c r="F2" t="s">
        <v>571</v>
      </c>
      <c r="G2">
        <v>88274225</v>
      </c>
    </row>
    <row r="3" spans="1:7" x14ac:dyDescent="0.3">
      <c r="A3" t="s">
        <v>551</v>
      </c>
      <c r="B3" t="s">
        <v>552</v>
      </c>
      <c r="C3" t="s">
        <v>553</v>
      </c>
      <c r="D3" s="29" t="s">
        <v>562</v>
      </c>
      <c r="E3" t="s">
        <v>567</v>
      </c>
      <c r="F3" t="s">
        <v>572</v>
      </c>
      <c r="G3">
        <v>94562368</v>
      </c>
    </row>
    <row r="4" spans="1:7" x14ac:dyDescent="0.3">
      <c r="A4" t="s">
        <v>554</v>
      </c>
      <c r="B4" t="s">
        <v>555</v>
      </c>
      <c r="C4" t="s">
        <v>558</v>
      </c>
      <c r="D4" s="29" t="s">
        <v>563</v>
      </c>
      <c r="E4" t="s">
        <v>568</v>
      </c>
      <c r="F4" t="s">
        <v>573</v>
      </c>
      <c r="G4">
        <v>25451474</v>
      </c>
    </row>
    <row r="5" spans="1:7" x14ac:dyDescent="0.3">
      <c r="A5" t="s">
        <v>556</v>
      </c>
      <c r="B5" t="s">
        <v>557</v>
      </c>
      <c r="C5" t="s">
        <v>559</v>
      </c>
      <c r="D5" s="29" t="s">
        <v>564</v>
      </c>
      <c r="E5" t="s">
        <v>569</v>
      </c>
      <c r="F5" t="s">
        <v>574</v>
      </c>
      <c r="G5">
        <v>77562356</v>
      </c>
    </row>
  </sheetData>
  <hyperlinks>
    <hyperlink ref="D2" r:id="rId1" xr:uid="{A0E4BB37-77D5-4E64-9659-DCD49FA48367}"/>
    <hyperlink ref="D3" r:id="rId2" xr:uid="{84974ABB-E5DA-433F-B717-3E5849C24D9C}"/>
    <hyperlink ref="D4" r:id="rId3" xr:uid="{C7080CA7-AC24-45C4-B773-F66F642C6724}"/>
    <hyperlink ref="D5" r:id="rId4" xr:uid="{D6CBC70C-CE81-422F-B7A6-9991A241F207}"/>
  </hyperlinks>
  <pageMargins left="0.7" right="0.7" top="0.75" bottom="0.75" header="0.3" footer="0.3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C2FD5-8379-4925-B2E3-1BBDDF1E9A2D}">
  <dimension ref="E7:M11"/>
  <sheetViews>
    <sheetView workbookViewId="0">
      <selection activeCell="N6" sqref="N6"/>
    </sheetView>
  </sheetViews>
  <sheetFormatPr defaultRowHeight="14.4" x14ac:dyDescent="0.3"/>
  <cols>
    <col min="5" max="5" width="12.44140625" customWidth="1"/>
    <col min="6" max="6" width="12.109375" customWidth="1"/>
    <col min="7" max="7" width="14.77734375" bestFit="1" customWidth="1"/>
    <col min="8" max="8" width="16.5546875" bestFit="1" customWidth="1"/>
    <col min="9" max="9" width="12" customWidth="1"/>
    <col min="10" max="10" width="13.77734375" bestFit="1" customWidth="1"/>
    <col min="11" max="11" width="11.5546875" customWidth="1"/>
  </cols>
  <sheetData>
    <row r="7" spans="5:13" x14ac:dyDescent="0.3">
      <c r="E7" s="35" t="s">
        <v>545</v>
      </c>
      <c r="F7" s="35" t="s">
        <v>546</v>
      </c>
      <c r="G7" s="35" t="s">
        <v>547</v>
      </c>
      <c r="H7" s="35" t="s">
        <v>560</v>
      </c>
      <c r="I7" s="35" t="s">
        <v>565</v>
      </c>
      <c r="J7" s="35" t="s">
        <v>570</v>
      </c>
      <c r="K7" s="35" t="s">
        <v>575</v>
      </c>
      <c r="L7" s="35" t="s">
        <v>582</v>
      </c>
      <c r="M7" s="35" t="s">
        <v>583</v>
      </c>
    </row>
    <row r="8" spans="5:13" x14ac:dyDescent="0.3">
      <c r="E8" s="31" t="s">
        <v>548</v>
      </c>
      <c r="F8" s="31" t="s">
        <v>549</v>
      </c>
      <c r="G8" s="31" t="s">
        <v>550</v>
      </c>
      <c r="H8" s="33" t="s">
        <v>561</v>
      </c>
      <c r="I8" s="31" t="s">
        <v>566</v>
      </c>
      <c r="J8" s="31" t="s">
        <v>578</v>
      </c>
      <c r="K8" s="31">
        <v>8827427215</v>
      </c>
      <c r="L8">
        <v>882742</v>
      </c>
      <c r="M8">
        <v>882</v>
      </c>
    </row>
    <row r="9" spans="5:13" x14ac:dyDescent="0.3">
      <c r="E9" s="32" t="s">
        <v>551</v>
      </c>
      <c r="F9" s="32" t="s">
        <v>552</v>
      </c>
      <c r="G9" s="32" t="s">
        <v>553</v>
      </c>
      <c r="H9" s="34" t="s">
        <v>562</v>
      </c>
      <c r="I9" s="32" t="s">
        <v>567</v>
      </c>
      <c r="J9" s="32" t="s">
        <v>579</v>
      </c>
      <c r="K9" s="32">
        <v>9456235168</v>
      </c>
      <c r="L9">
        <v>945623</v>
      </c>
      <c r="M9">
        <v>945</v>
      </c>
    </row>
    <row r="10" spans="5:13" x14ac:dyDescent="0.3">
      <c r="E10" s="31" t="s">
        <v>554</v>
      </c>
      <c r="F10" s="31" t="s">
        <v>555</v>
      </c>
      <c r="G10" s="31" t="s">
        <v>558</v>
      </c>
      <c r="H10" s="33" t="s">
        <v>563</v>
      </c>
      <c r="I10" s="31" t="s">
        <v>568</v>
      </c>
      <c r="J10" s="31" t="s">
        <v>580</v>
      </c>
      <c r="K10" s="31">
        <v>2545145714</v>
      </c>
      <c r="L10">
        <v>254514</v>
      </c>
      <c r="M10">
        <v>254</v>
      </c>
    </row>
    <row r="11" spans="5:13" x14ac:dyDescent="0.3">
      <c r="E11" s="36" t="s">
        <v>556</v>
      </c>
      <c r="F11" s="36" t="s">
        <v>557</v>
      </c>
      <c r="G11" s="36" t="s">
        <v>559</v>
      </c>
      <c r="H11" s="37" t="s">
        <v>564</v>
      </c>
      <c r="I11" s="36" t="s">
        <v>569</v>
      </c>
      <c r="J11" s="36" t="s">
        <v>581</v>
      </c>
      <c r="K11" s="36">
        <v>7756230516</v>
      </c>
      <c r="L11">
        <v>775623</v>
      </c>
      <c r="M11">
        <v>775</v>
      </c>
    </row>
  </sheetData>
  <hyperlinks>
    <hyperlink ref="H8" r:id="rId1" xr:uid="{60F69ABC-7E28-471F-A2DE-CB96EB95357E}"/>
    <hyperlink ref="H9" r:id="rId2" xr:uid="{B273964A-1D2E-4F5A-A1F6-344A15FB680C}"/>
    <hyperlink ref="H10" r:id="rId3" xr:uid="{1A750C7E-0D2B-4CD8-8F67-18BE8F92D08D}"/>
    <hyperlink ref="H11" r:id="rId4" xr:uid="{5EE7E1A5-CF9E-4A7B-B5C4-5057DD47A888}"/>
  </hyperlinks>
  <pageMargins left="0.7" right="0.7" top="0.75" bottom="0.75" header="0.3" footer="0.3"/>
  <tableParts count="1"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DD8E7-B498-4D82-A60B-0B043A12DAA9}">
  <dimension ref="H8:R25"/>
  <sheetViews>
    <sheetView topLeftCell="B1" workbookViewId="0">
      <selection activeCell="M27" sqref="M27"/>
    </sheetView>
  </sheetViews>
  <sheetFormatPr defaultRowHeight="14.4" x14ac:dyDescent="0.3"/>
  <cols>
    <col min="8" max="8" width="12.21875" bestFit="1" customWidth="1"/>
    <col min="9" max="9" width="11.88671875" bestFit="1" customWidth="1"/>
    <col min="10" max="10" width="18.44140625" bestFit="1" customWidth="1"/>
    <col min="12" max="13" width="11.21875" bestFit="1" customWidth="1"/>
    <col min="16" max="17" width="13.5546875" bestFit="1" customWidth="1"/>
    <col min="18" max="18" width="18.77734375" bestFit="1" customWidth="1"/>
  </cols>
  <sheetData>
    <row r="8" spans="8:14" ht="18" x14ac:dyDescent="0.3">
      <c r="H8" s="44" t="s">
        <v>584</v>
      </c>
      <c r="I8" s="45" t="s">
        <v>589</v>
      </c>
      <c r="J8" s="51" t="s">
        <v>590</v>
      </c>
      <c r="M8" s="40" t="s">
        <v>591</v>
      </c>
      <c r="N8" s="40" t="s">
        <v>595</v>
      </c>
    </row>
    <row r="9" spans="8:14" ht="18" x14ac:dyDescent="0.3">
      <c r="H9" s="42" t="s">
        <v>585</v>
      </c>
      <c r="I9" s="38">
        <v>75</v>
      </c>
      <c r="J9" s="50" t="str">
        <f>IF(I9&gt;=90,"A++",IF(I9&gt;75,"A+",IF(I9&gt;60,"A",IF(I9&gt;40,"B","Fail"))))</f>
        <v>A</v>
      </c>
      <c r="M9" s="40" t="s">
        <v>592</v>
      </c>
      <c r="N9" s="40" t="s">
        <v>596</v>
      </c>
    </row>
    <row r="10" spans="8:14" ht="18" x14ac:dyDescent="0.3">
      <c r="H10" s="42" t="s">
        <v>586</v>
      </c>
      <c r="I10" s="38">
        <v>78</v>
      </c>
      <c r="J10" s="50" t="str">
        <f>IF(I10&gt;=90,"A++",IF(I10&gt;75,"A+",IF(I10&gt;60,"A",IF(I10&gt;40,"B","Fail"))))</f>
        <v>A+</v>
      </c>
      <c r="M10" s="40" t="s">
        <v>593</v>
      </c>
      <c r="N10" s="40" t="s">
        <v>597</v>
      </c>
    </row>
    <row r="11" spans="8:14" ht="18" x14ac:dyDescent="0.3">
      <c r="H11" s="42" t="s">
        <v>587</v>
      </c>
      <c r="I11" s="38">
        <v>67</v>
      </c>
      <c r="J11" s="50" t="str">
        <f t="shared" ref="J11:J13" si="0">IF(I11&gt;=90,"A++",IF(I11&gt;75,"A+",IF(I11&gt;60,"A",IF(I11&gt;40,"B","Fail"))))</f>
        <v>A</v>
      </c>
      <c r="M11" s="40" t="s">
        <v>594</v>
      </c>
      <c r="N11" s="40" t="s">
        <v>598</v>
      </c>
    </row>
    <row r="12" spans="8:14" ht="18" x14ac:dyDescent="0.3">
      <c r="H12" s="42" t="s">
        <v>588</v>
      </c>
      <c r="I12" s="38">
        <v>45</v>
      </c>
      <c r="J12" s="50" t="str">
        <f t="shared" si="0"/>
        <v>B</v>
      </c>
      <c r="M12" s="39" t="s">
        <v>600</v>
      </c>
      <c r="N12" s="39" t="s">
        <v>601</v>
      </c>
    </row>
    <row r="13" spans="8:14" ht="18" x14ac:dyDescent="0.3">
      <c r="H13" s="47" t="s">
        <v>599</v>
      </c>
      <c r="I13" s="52">
        <v>30</v>
      </c>
      <c r="J13" s="53" t="str">
        <f t="shared" si="0"/>
        <v>Fail</v>
      </c>
    </row>
    <row r="17" spans="8:18" x14ac:dyDescent="0.3">
      <c r="P17" s="67" t="s">
        <v>607</v>
      </c>
      <c r="Q17" s="68" t="s">
        <v>608</v>
      </c>
      <c r="R17" s="69" t="s">
        <v>609</v>
      </c>
    </row>
    <row r="18" spans="8:18" ht="18" x14ac:dyDescent="0.35">
      <c r="H18" s="44" t="s">
        <v>584</v>
      </c>
      <c r="I18" s="45" t="s">
        <v>602</v>
      </c>
      <c r="J18" s="46" t="s">
        <v>603</v>
      </c>
      <c r="L18" s="59" t="s">
        <v>604</v>
      </c>
      <c r="M18" s="59" t="s">
        <v>603</v>
      </c>
      <c r="P18" s="61">
        <v>27</v>
      </c>
      <c r="Q18" s="60">
        <v>6</v>
      </c>
      <c r="R18" s="50">
        <f t="shared" ref="R18:R20" si="1">IFERROR(P18/Q18,"Cannot Devide by Zero")</f>
        <v>4.5</v>
      </c>
    </row>
    <row r="19" spans="8:18" ht="18" x14ac:dyDescent="0.3">
      <c r="H19" s="42" t="s">
        <v>585</v>
      </c>
      <c r="I19" s="41">
        <v>70000</v>
      </c>
      <c r="J19" s="43">
        <f>IF(I19&gt;$L$19,(I19*15%),IF(I19&gt;$L$20,(I19*10%),IF(I19&gt;$L$21,(I19*5%))))</f>
        <v>3500</v>
      </c>
      <c r="L19" s="60">
        <v>75000</v>
      </c>
      <c r="M19" s="65">
        <v>0.15</v>
      </c>
      <c r="P19" s="61">
        <v>45</v>
      </c>
      <c r="Q19" s="60">
        <v>5</v>
      </c>
      <c r="R19" s="50">
        <f t="shared" si="1"/>
        <v>9</v>
      </c>
    </row>
    <row r="20" spans="8:18" ht="18" x14ac:dyDescent="0.3">
      <c r="H20" s="42" t="s">
        <v>586</v>
      </c>
      <c r="I20" s="41">
        <v>50000</v>
      </c>
      <c r="J20" s="43" t="str">
        <f>IF(I20&gt;$L$19,(I20*15%),IF(I20&gt;$L$20,(I20*10%),IF(I20&gt;$L$21,(I20*5%),"No Bonus")))</f>
        <v>No Bonus</v>
      </c>
      <c r="L20" s="60">
        <v>70000</v>
      </c>
      <c r="M20" s="65">
        <v>0.1</v>
      </c>
      <c r="P20" s="61">
        <v>65</v>
      </c>
      <c r="Q20" s="60">
        <v>3</v>
      </c>
      <c r="R20" s="62">
        <f t="shared" si="1"/>
        <v>21.666666666666668</v>
      </c>
    </row>
    <row r="21" spans="8:18" ht="18" x14ac:dyDescent="0.3">
      <c r="H21" s="42" t="s">
        <v>587</v>
      </c>
      <c r="I21" s="41">
        <v>45000</v>
      </c>
      <c r="J21" s="43" t="str">
        <f>IF(I21&gt;$L$19,(I21*15%),IF(I21&gt;$L$20,(I21*10%),IF(I21&gt;$L$21,(I21*5%),"No Bonus")))</f>
        <v>No Bonus</v>
      </c>
      <c r="L21" s="60">
        <v>50000</v>
      </c>
      <c r="M21" s="65">
        <v>0.05</v>
      </c>
      <c r="P21" s="61">
        <v>60</v>
      </c>
      <c r="Q21" s="60">
        <v>0</v>
      </c>
      <c r="R21" s="50" t="str">
        <f>IFERROR(P21/Q21,"Cannot Devide by Zero")</f>
        <v>Cannot Devide by Zero</v>
      </c>
    </row>
    <row r="22" spans="8:18" ht="18" x14ac:dyDescent="0.3">
      <c r="H22" s="42" t="s">
        <v>588</v>
      </c>
      <c r="I22" s="41">
        <v>75000</v>
      </c>
      <c r="J22" s="43">
        <f>IF(I22&gt;$L$19,(I22*15%),IF(I22&gt;$L$20,(I22*10%),IF(I22&gt;$L$21,(I22*5%))))</f>
        <v>7500</v>
      </c>
      <c r="L22" s="59" t="s">
        <v>605</v>
      </c>
      <c r="M22" s="59" t="s">
        <v>606</v>
      </c>
      <c r="P22" s="63">
        <v>62</v>
      </c>
      <c r="Q22" s="64">
        <v>4</v>
      </c>
      <c r="R22" s="53">
        <f>IFERROR(P22/Q22,"Cannot Devide by Zero")</f>
        <v>15.5</v>
      </c>
    </row>
    <row r="23" spans="8:18" ht="18" x14ac:dyDescent="0.3">
      <c r="H23" s="47" t="s">
        <v>599</v>
      </c>
      <c r="I23" s="48">
        <v>55000</v>
      </c>
      <c r="J23" s="49">
        <f>IF(I23&gt;$L$19,(I23*15%),IF(I23&gt;$L$20,(I23*10%),IF(I23&gt;$L$21,(I23*5%))))</f>
        <v>2750</v>
      </c>
    </row>
    <row r="25" spans="8:18" x14ac:dyDescent="0.3">
      <c r="H25" s="66" t="s">
        <v>612</v>
      </c>
      <c r="I25" s="61">
        <f>SUMIF(Table4[Salary],"&gt;50000",Table4[Salary])</f>
        <v>200000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34D78-29E1-4CCD-BF36-EC79D09F917E}">
  <dimension ref="B3:G20"/>
  <sheetViews>
    <sheetView zoomScale="213" zoomScaleNormal="213" workbookViewId="0">
      <selection activeCell="E18" sqref="E18"/>
    </sheetView>
  </sheetViews>
  <sheetFormatPr defaultRowHeight="14.4" x14ac:dyDescent="0.3"/>
  <cols>
    <col min="2" max="2" width="9.88671875" bestFit="1" customWidth="1"/>
    <col min="6" max="6" width="23.6640625" bestFit="1" customWidth="1"/>
  </cols>
  <sheetData>
    <row r="3" spans="2:7" x14ac:dyDescent="0.3">
      <c r="B3" s="72" t="s">
        <v>2</v>
      </c>
      <c r="C3" s="73" t="s">
        <v>616</v>
      </c>
      <c r="D3" s="78" t="s">
        <v>617</v>
      </c>
    </row>
    <row r="4" spans="2:7" x14ac:dyDescent="0.3">
      <c r="B4" s="58" t="s">
        <v>618</v>
      </c>
      <c r="C4" s="71" t="s">
        <v>619</v>
      </c>
      <c r="D4" s="75">
        <v>2300</v>
      </c>
    </row>
    <row r="5" spans="2:7" x14ac:dyDescent="0.3">
      <c r="B5" s="58" t="s">
        <v>618</v>
      </c>
      <c r="C5" s="71" t="s">
        <v>620</v>
      </c>
      <c r="D5" s="76">
        <v>5500</v>
      </c>
    </row>
    <row r="6" spans="2:7" x14ac:dyDescent="0.3">
      <c r="B6" s="58" t="s">
        <v>621</v>
      </c>
      <c r="C6" s="71" t="s">
        <v>622</v>
      </c>
      <c r="D6" s="77">
        <v>800</v>
      </c>
      <c r="F6" s="70" t="s">
        <v>626</v>
      </c>
      <c r="G6">
        <f>SUMIF(B4:B9,"=Fruits",D4:D9)</f>
        <v>2000</v>
      </c>
    </row>
    <row r="7" spans="2:7" x14ac:dyDescent="0.3">
      <c r="B7" s="58"/>
      <c r="C7" s="71" t="s">
        <v>623</v>
      </c>
      <c r="D7" s="77">
        <v>400</v>
      </c>
    </row>
    <row r="8" spans="2:7" x14ac:dyDescent="0.3">
      <c r="B8" s="58" t="s">
        <v>618</v>
      </c>
      <c r="C8" s="71" t="s">
        <v>624</v>
      </c>
      <c r="D8" s="76">
        <v>4200</v>
      </c>
      <c r="F8" s="70" t="s">
        <v>627</v>
      </c>
      <c r="G8">
        <f>SUMIF(B4:B9,"",D4:D9)</f>
        <v>400</v>
      </c>
    </row>
    <row r="9" spans="2:7" x14ac:dyDescent="0.3">
      <c r="B9" s="57" t="s">
        <v>621</v>
      </c>
      <c r="C9" s="74" t="s">
        <v>625</v>
      </c>
      <c r="D9" s="79">
        <v>1200</v>
      </c>
    </row>
    <row r="16" spans="2:7" ht="20.399999999999999" x14ac:dyDescent="0.3">
      <c r="B16" s="82" t="s">
        <v>632</v>
      </c>
      <c r="C16" s="83" t="s">
        <v>636</v>
      </c>
    </row>
    <row r="17" spans="2:5" ht="15" x14ac:dyDescent="0.3">
      <c r="B17" s="80" t="s">
        <v>633</v>
      </c>
      <c r="C17" s="81">
        <v>32</v>
      </c>
    </row>
    <row r="18" spans="2:5" ht="15" x14ac:dyDescent="0.3">
      <c r="B18" s="80" t="s">
        <v>634</v>
      </c>
      <c r="C18" s="81">
        <v>54</v>
      </c>
      <c r="E18">
        <f>COUNTIF(B17:B20,"oranges")</f>
        <v>1</v>
      </c>
    </row>
    <row r="19" spans="2:5" ht="15" x14ac:dyDescent="0.3">
      <c r="B19" s="80" t="s">
        <v>635</v>
      </c>
      <c r="C19" s="81">
        <v>75</v>
      </c>
    </row>
    <row r="20" spans="2:5" ht="15" x14ac:dyDescent="0.3">
      <c r="B20" s="84" t="s">
        <v>633</v>
      </c>
      <c r="C20" s="85">
        <v>86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11</vt:i4>
      </vt:variant>
    </vt:vector>
  </HeadingPairs>
  <TitlesOfParts>
    <vt:vector size="16" baseType="lpstr">
      <vt:lpstr>Dmart_sales_dataset</vt:lpstr>
      <vt:lpstr>Sheet3</vt:lpstr>
      <vt:lpstr>Sheet4</vt:lpstr>
      <vt:lpstr>Sheet5</vt:lpstr>
      <vt:lpstr>Sheet2</vt:lpstr>
      <vt:lpstr>Category</vt:lpstr>
      <vt:lpstr>city</vt:lpstr>
      <vt:lpstr>customer_type</vt:lpstr>
      <vt:lpstr>delivery_date</vt:lpstr>
      <vt:lpstr>discount</vt:lpstr>
      <vt:lpstr>order_date</vt:lpstr>
      <vt:lpstr>order_id</vt:lpstr>
      <vt:lpstr>payment_mode</vt:lpstr>
      <vt:lpstr>Region</vt:lpstr>
      <vt:lpstr>sales</vt:lpstr>
      <vt:lpstr>transactions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Swaraj Rathod</dc:creator>
  <cp:lastModifiedBy>Sarthak Kamble</cp:lastModifiedBy>
  <dcterms:created xsi:type="dcterms:W3CDTF">2026-04-17T06:18:56Z</dcterms:created>
  <dcterms:modified xsi:type="dcterms:W3CDTF">2026-07-09T02:42:22Z</dcterms:modified>
</cp:coreProperties>
</file>