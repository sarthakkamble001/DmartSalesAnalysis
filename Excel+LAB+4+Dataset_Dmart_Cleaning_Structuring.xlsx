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CCC4F610-95FB-4852-9E14-2C30189023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4" sheetId="4" r:id="rId3"/>
    <sheet name="Sheet5" sheetId="5" r:id="rId4"/>
    <sheet name="Sheet2" sheetId="6" r:id="rId5"/>
  </sheets>
  <definedNames>
    <definedName name="Category">Dmart_sales_data[Category]</definedName>
    <definedName name="city">Dmart_sales_data[Updated_City]</definedName>
    <definedName name="discount">Dmart_sales_data[discount]</definedName>
    <definedName name="payment_mode">Dmart_sales_data[payment_mode]</definedName>
    <definedName name="Region">Dmart_sales_data[Updated 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gT5L9Uh5Mkce+NjaHPxVAbIJlDW9RbqkjfO6mNdsl18="/>
    </ext>
  </extLst>
</workbook>
</file>

<file path=xl/calcChain.xml><?xml version="1.0" encoding="utf-8"?>
<calcChain xmlns="http://schemas.openxmlformats.org/spreadsheetml/2006/main">
  <c r="T15" i="1" l="1"/>
  <c r="T13" i="1"/>
  <c r="G8" i="6"/>
  <c r="G6" i="6"/>
  <c r="T10" i="1"/>
  <c r="T8" i="1"/>
  <c r="T6" i="1"/>
  <c r="I25" i="5"/>
  <c r="Q2" i="1"/>
  <c r="J9" i="5"/>
  <c r="J10" i="5"/>
  <c r="J19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18" i="5"/>
  <c r="R19" i="5"/>
  <c r="R20" i="5"/>
  <c r="R22" i="5"/>
  <c r="R21" i="5"/>
  <c r="J21" i="5"/>
  <c r="J20" i="5"/>
  <c r="J22" i="5"/>
  <c r="J23" i="5"/>
  <c r="J11" i="5"/>
  <c r="J12" i="5"/>
  <c r="J13" i="5"/>
</calcChain>
</file>

<file path=xl/sharedStrings.xml><?xml version="1.0" encoding="utf-8"?>
<sst xmlns="http://schemas.openxmlformats.org/spreadsheetml/2006/main" count="4620" uniqueCount="632">
  <si>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</si>
  <si>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</si>
  <si>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</si>
  <si>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</si>
  <si>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</si>
  <si>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</si>
  <si>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</si>
  <si>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</si>
  <si>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</si>
  <si>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</si>
  <si>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</si>
  <si>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</si>
  <si>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</si>
  <si>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</si>
  <si>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</si>
  <si>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</si>
  <si>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</si>
  <si>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</si>
  <si>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</si>
  <si>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</si>
  <si>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</si>
  <si>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</si>
  <si>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</si>
  <si>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</si>
  <si>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</si>
  <si>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</si>
  <si>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</si>
  <si>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</si>
  <si>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</si>
  <si>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</si>
  <si>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</si>
  <si>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</si>
  <si>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</si>
  <si>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</si>
  <si>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</si>
  <si>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</si>
  <si>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</si>
  <si>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</si>
  <si>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</si>
  <si>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</si>
  <si>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</si>
  <si>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</si>
  <si>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</si>
  <si>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</si>
  <si>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</si>
  <si>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</si>
  <si>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</si>
  <si>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</si>
  <si>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</si>
  <si>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</si>
  <si>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</si>
  <si>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</si>
  <si>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</si>
  <si>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</si>
  <si>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</si>
  <si>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</si>
  <si>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</si>
  <si>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</si>
  <si>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</si>
  <si>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</si>
  <si>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</si>
  <si>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</si>
  <si>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</si>
  <si>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</si>
  <si>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</si>
  <si>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</si>
  <si>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</si>
  <si>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</si>
  <si>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</si>
  <si>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</si>
  <si>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</si>
  <si>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</si>
  <si>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</si>
  <si>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</si>
  <si>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</si>
  <si>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</si>
  <si>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</si>
  <si>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</si>
  <si>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</si>
  <si>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</si>
  <si>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</si>
  <si>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</si>
  <si>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</si>
  <si>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</si>
  <si>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</si>
  <si>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</si>
  <si>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</si>
  <si>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</si>
  <si>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</si>
  <si>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</si>
  <si>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</si>
  <si>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</si>
  <si>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</si>
  <si>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</si>
  <si>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</si>
  <si>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</si>
  <si>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</si>
  <si>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</si>
  <si>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</si>
  <si>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</si>
  <si>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</si>
  <si>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</si>
  <si>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</si>
  <si>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</si>
  <si>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</si>
  <si>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</si>
  <si>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</si>
  <si>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</si>
  <si>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</si>
  <si>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</si>
  <si>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</si>
  <si>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</si>
  <si>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</si>
  <si>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</si>
  <si>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</si>
  <si>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</si>
  <si>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</si>
  <si>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</si>
  <si>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</si>
  <si>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</si>
  <si>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</si>
  <si>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</si>
  <si>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</si>
  <si>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</si>
  <si>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</si>
  <si>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</si>
  <si>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</si>
  <si>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</si>
  <si>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</si>
  <si>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</si>
  <si>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</si>
  <si>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</si>
  <si>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</si>
  <si>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</si>
  <si>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</si>
  <si>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</si>
  <si>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</si>
  <si>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</si>
  <si>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</si>
  <si>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</si>
  <si>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</si>
  <si>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</si>
  <si>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</si>
  <si>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</si>
  <si>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</si>
  <si>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</si>
  <si>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</si>
  <si>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</si>
  <si>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</si>
  <si>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</si>
  <si>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</si>
  <si>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</si>
  <si>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</si>
  <si>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</si>
  <si>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</si>
  <si>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</si>
  <si>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</si>
  <si>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</si>
  <si>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</si>
  <si>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</si>
  <si>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</si>
  <si>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</si>
  <si>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</si>
  <si>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</si>
  <si>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</si>
  <si>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</si>
  <si>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</si>
  <si>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</si>
  <si>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</si>
  <si>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</si>
  <si>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</si>
  <si>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</si>
  <si>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</si>
  <si>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</si>
  <si>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</si>
  <si>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</si>
  <si>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</si>
  <si>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</si>
  <si>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</si>
  <si>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</si>
  <si>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</si>
  <si>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</si>
  <si>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</si>
  <si>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</si>
  <si>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</si>
  <si>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</si>
  <si>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</si>
  <si>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</si>
  <si>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</si>
  <si>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</si>
  <si>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</si>
  <si>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</si>
  <si>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</si>
  <si>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</si>
  <si>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</si>
  <si>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</si>
  <si>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</si>
  <si>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</si>
  <si>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</si>
  <si>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</si>
  <si>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</si>
  <si>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</si>
  <si>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</si>
  <si>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</si>
  <si>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</si>
  <si>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</si>
  <si>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</si>
  <si>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</si>
  <si>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</si>
  <si>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</si>
  <si>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</si>
  <si>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</si>
  <si>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</si>
  <si>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</si>
  <si>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</si>
  <si>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</si>
  <si>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</si>
  <si>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</si>
  <si>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</si>
  <si>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</si>
  <si>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</si>
  <si>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</si>
  <si>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</si>
  <si>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</si>
  <si>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</si>
  <si>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</si>
  <si>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</si>
  <si>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</si>
  <si>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</si>
  <si>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</si>
  <si>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</si>
  <si>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</si>
  <si>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</si>
  <si>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</si>
  <si>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</si>
  <si>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</si>
  <si>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</si>
  <si>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</si>
  <si>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</si>
  <si>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</si>
  <si>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</si>
  <si>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</si>
  <si>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</si>
  <si>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</si>
  <si>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</si>
  <si>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</si>
  <si>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</si>
  <si>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</si>
  <si>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</si>
  <si>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</si>
  <si>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</si>
  <si>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</si>
  <si>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</si>
  <si>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</si>
  <si>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</si>
  <si>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</si>
  <si>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</si>
  <si>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</si>
  <si>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</si>
  <si>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</si>
  <si>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</si>
  <si>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</si>
  <si>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</si>
  <si>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</si>
  <si>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</si>
  <si>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</si>
  <si>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</si>
  <si>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</si>
  <si>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</si>
  <si>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</si>
  <si>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</si>
  <si>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</si>
  <si>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</si>
  <si>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</si>
  <si>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</si>
  <si>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</si>
  <si>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</si>
  <si>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</si>
  <si>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</si>
  <si>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</si>
  <si>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</si>
  <si>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</si>
  <si>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</si>
  <si>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</si>
  <si>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</si>
  <si>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</si>
  <si>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</si>
  <si>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</si>
  <si>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</si>
  <si>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</si>
  <si>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</si>
  <si>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</si>
  <si>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</si>
  <si>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</si>
  <si>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</si>
  <si>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</si>
  <si>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</si>
  <si>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</si>
  <si>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</si>
  <si>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</si>
  <si>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</si>
  <si>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</si>
  <si>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</si>
  <si>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</si>
  <si>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</si>
  <si>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</si>
  <si>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</si>
  <si>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</si>
  <si>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</si>
  <si>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</si>
  <si>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</si>
  <si>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</si>
  <si>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</si>
  <si>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</si>
  <si>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</si>
  <si>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</si>
  <si>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</si>
  <si>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</si>
  <si>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</si>
  <si>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</si>
  <si>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</si>
  <si>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</si>
  <si>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</si>
  <si>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</si>
  <si>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</si>
  <si>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</si>
  <si>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</si>
  <si>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</si>
  <si>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</si>
  <si>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</si>
  <si>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</si>
  <si>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</si>
  <si>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</si>
  <si>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</si>
  <si>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</si>
  <si>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</si>
  <si>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</si>
  <si>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</si>
  <si>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</si>
  <si>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</si>
  <si>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</si>
  <si>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</si>
  <si>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</si>
  <si>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</si>
  <si>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</si>
  <si>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</si>
  <si>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</si>
  <si>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</si>
  <si>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</si>
  <si>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</si>
  <si>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</si>
  <si>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</si>
  <si>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</si>
  <si>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</si>
  <si>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</si>
  <si>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</si>
  <si>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</si>
  <si>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</si>
  <si>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</si>
  <si>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</si>
  <si>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</si>
  <si>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</si>
  <si>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</si>
  <si>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</si>
  <si>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</si>
  <si>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</si>
  <si>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</si>
  <si>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</si>
  <si>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</si>
  <si>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</si>
  <si>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</si>
  <si>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</si>
  <si>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</si>
  <si>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</si>
  <si>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</si>
  <si>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</si>
  <si>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</si>
  <si>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</si>
  <si>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</si>
  <si>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</si>
  <si>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</si>
  <si>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</si>
  <si>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</si>
  <si>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</si>
  <si>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</si>
  <si>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</si>
  <si>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</si>
  <si>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</si>
  <si>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</si>
  <si>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</si>
  <si>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</si>
  <si>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</si>
  <si>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</si>
  <si>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</si>
  <si>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</si>
  <si>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</si>
  <si>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</si>
  <si>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</si>
  <si>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</si>
  <si>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</si>
  <si>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</si>
  <si>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</si>
  <si>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</si>
  <si>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</si>
  <si>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</si>
  <si>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</si>
  <si>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</si>
  <si>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</si>
  <si>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</si>
  <si>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</si>
  <si>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</si>
  <si>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</si>
  <si>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</si>
  <si>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</si>
  <si>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</si>
  <si>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</si>
  <si>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</si>
  <si>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</si>
  <si>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</si>
  <si>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</si>
  <si>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</si>
  <si>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</si>
  <si>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</si>
  <si>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</si>
  <si>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</si>
  <si>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</si>
  <si>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</si>
  <si>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</si>
  <si>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</si>
  <si>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</si>
  <si>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</si>
  <si>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</si>
  <si>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</si>
  <si>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</si>
  <si>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</si>
  <si>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</si>
  <si>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</si>
  <si>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</si>
  <si>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</si>
  <si>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</si>
  <si>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</si>
  <si>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</si>
  <si>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</si>
  <si>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</si>
  <si>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</si>
  <si>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</si>
  <si>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</si>
  <si>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</si>
  <si>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</si>
  <si>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</si>
  <si>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</si>
  <si>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</si>
  <si>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</si>
  <si>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</si>
  <si>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</si>
  <si>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</si>
  <si>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</si>
  <si>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</si>
  <si>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</si>
  <si>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</si>
  <si>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</si>
  <si>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</si>
  <si>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</si>
  <si>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</si>
  <si>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</si>
  <si>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</si>
  <si>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</si>
  <si>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</si>
  <si>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</si>
  <si>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</si>
  <si>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</si>
  <si>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</si>
  <si>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</si>
  <si>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</si>
  <si>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</si>
  <si>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</si>
  <si>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</si>
  <si>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</si>
  <si>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</si>
  <si>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</si>
  <si>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</si>
  <si>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</si>
  <si>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</si>
  <si>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</si>
  <si>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</si>
  <si>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</si>
  <si>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</si>
  <si>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</si>
  <si>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</si>
  <si>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</si>
  <si>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</si>
  <si>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</si>
  <si>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</si>
  <si>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</si>
  <si>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</si>
  <si>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</si>
  <si>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</si>
  <si>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</si>
  <si>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</si>
  <si>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</si>
  <si>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</si>
  <si>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</si>
  <si>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</si>
  <si>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</si>
  <si>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</si>
  <si>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</si>
  <si>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</si>
  <si>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</si>
  <si>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</si>
  <si>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</si>
  <si>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</si>
  <si>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</si>
  <si>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</si>
  <si>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</si>
  <si>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</si>
  <si>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</si>
  <si>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</si>
  <si>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</si>
  <si>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</si>
  <si>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</si>
  <si>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</si>
  <si>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</si>
  <si>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</si>
  <si>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</si>
  <si>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</si>
  <si>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</si>
  <si>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</si>
  <si>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</si>
  <si>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</si>
  <si>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</si>
  <si>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</si>
  <si>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</si>
  <si>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</si>
  <si>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</si>
  <si>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</si>
  <si>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</si>
  <si>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</si>
  <si>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</si>
  <si>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</si>
  <si>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</si>
  <si>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</si>
  <si>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</si>
  <si>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</si>
  <si>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</si>
  <si>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</si>
  <si>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</si>
  <si>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</si>
  <si>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</si>
  <si>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</si>
  <si>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</si>
  <si>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</si>
  <si>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</si>
  <si>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</si>
  <si>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</si>
  <si>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</si>
  <si>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</si>
  <si>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</si>
  <si>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</si>
  <si>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</si>
  <si>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</si>
  <si>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</si>
  <si>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</si>
  <si>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</si>
  <si>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</si>
  <si>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</si>
  <si>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</si>
  <si>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</si>
  <si>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</si>
  <si>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</si>
  <si>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</si>
  <si>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</si>
  <si>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</si>
  <si>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</si>
  <si>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</si>
  <si>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</si>
  <si>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</si>
  <si>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West</t>
  </si>
  <si>
    <t>Updated region</t>
  </si>
  <si>
    <t>91-8827427215</t>
  </si>
  <si>
    <t>91-9456235168</t>
  </si>
  <si>
    <t>91-2545145714</t>
  </si>
  <si>
    <t>91-7756230516</t>
  </si>
  <si>
    <t>First two _no</t>
  </si>
  <si>
    <t>first_three no</t>
  </si>
  <si>
    <t xml:space="preserve">Name </t>
  </si>
  <si>
    <t>Manish</t>
  </si>
  <si>
    <t>Priya</t>
  </si>
  <si>
    <t>Snehal</t>
  </si>
  <si>
    <t>Mangesh</t>
  </si>
  <si>
    <t>Marks</t>
  </si>
  <si>
    <t>Grade</t>
  </si>
  <si>
    <t>&gt;90</t>
  </si>
  <si>
    <t>&gt;75</t>
  </si>
  <si>
    <t>&gt;60</t>
  </si>
  <si>
    <t>&gt;40</t>
  </si>
  <si>
    <t>A++</t>
  </si>
  <si>
    <t>A+</t>
  </si>
  <si>
    <t>A</t>
  </si>
  <si>
    <t>B</t>
  </si>
  <si>
    <t>Sahil</t>
  </si>
  <si>
    <t>Else</t>
  </si>
  <si>
    <t>Fail</t>
  </si>
  <si>
    <t>Salary</t>
  </si>
  <si>
    <t>Bonus</t>
  </si>
  <si>
    <t>Salary Range</t>
  </si>
  <si>
    <t>&lt;50000</t>
  </si>
  <si>
    <t>no bonus</t>
  </si>
  <si>
    <t>Number 1</t>
  </si>
  <si>
    <t>Number 2</t>
  </si>
  <si>
    <t>Division</t>
  </si>
  <si>
    <t>Sales_Range</t>
  </si>
  <si>
    <t>Discount or Not</t>
  </si>
  <si>
    <t>Total Sales</t>
  </si>
  <si>
    <t>Total sales by UPI mode of payment</t>
  </si>
  <si>
    <t>Total Sales by Cash mode of payment</t>
  </si>
  <si>
    <t>Total Sales by Card mode of payment</t>
  </si>
  <si>
    <t>Food</t>
  </si>
  <si>
    <t>Sales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</si>
  <si>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</si>
  <si>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</si>
  <si>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</si>
  <si>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</si>
  <si>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</si>
  <si>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</si>
  <si>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</si>
  <si>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</si>
  <si>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according to Fruit</t>
  </si>
  <si>
    <t>No Catergory Sales</t>
  </si>
  <si>
    <t>Total Sales by Clothing and East region</t>
  </si>
  <si>
    <t>SUMIF</t>
  </si>
  <si>
    <t>SUMIFS</t>
  </si>
  <si>
    <t>Total Sales by Electronics North and more than 40 %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</si>
</sst>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7" formatCode="&quot;₹&quot;\ #,##0.00"/>
  </numFmts>
  <fonts count="1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91">
    <xf numFmtId="0" fontId="0" fillId="0" borderId="0" xfId="0"/>
    <xf numFmtId="0" fontId="3" fillId="0" borderId="0" xfId="0" applyFont="1"/>
    <xf numFmtId="0" fontId="4" fillId="0" borderId="0" xfId="0" applyFont="1"/>
    <xf numFmtId="0" fontId="3" fillId="3" borderId="2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3" borderId="3" xfId="0" applyFont="1" applyFill="1" applyBorder="1"/>
    <xf numFmtId="0" fontId="3" fillId="0" borderId="4" xfId="0" applyFont="1" applyBorder="1"/>
    <xf numFmtId="0" fontId="3" fillId="0" borderId="5" xfId="0" applyFont="1" applyBorder="1"/>
    <xf numFmtId="0" fontId="4" fillId="0" borderId="5" xfId="0" applyFont="1" applyBorder="1"/>
    <xf numFmtId="164" fontId="4" fillId="0" borderId="5" xfId="0" applyNumberFormat="1" applyFont="1" applyBorder="1"/>
    <xf numFmtId="0" fontId="3" fillId="0" borderId="6" xfId="0" applyFont="1" applyBorder="1"/>
    <xf numFmtId="0" fontId="3" fillId="3" borderId="4" xfId="0" applyFont="1" applyFill="1" applyBorder="1"/>
    <xf numFmtId="0" fontId="3" fillId="3" borderId="5" xfId="0" applyFont="1" applyFill="1" applyBorder="1"/>
    <xf numFmtId="0" fontId="4" fillId="3" borderId="5" xfId="0" applyFont="1" applyFill="1" applyBorder="1"/>
    <xf numFmtId="164" fontId="4" fillId="3" borderId="5" xfId="0" applyNumberFormat="1" applyFont="1" applyFill="1" applyBorder="1"/>
    <xf numFmtId="0" fontId="3" fillId="3" borderId="6" xfId="0" applyFont="1" applyFill="1" applyBorder="1"/>
    <xf numFmtId="0" fontId="3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6" fillId="2" borderId="7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9" fillId="0" borderId="6" xfId="0" applyFont="1" applyBorder="1"/>
    <xf numFmtId="0" fontId="10" fillId="2" borderId="7" xfId="0" applyFont="1" applyFill="1" applyBorder="1" applyAlignment="1">
      <alignment horizontal="center"/>
    </xf>
    <xf numFmtId="0" fontId="11" fillId="3" borderId="1" xfId="0" applyFont="1" applyFill="1" applyBorder="1"/>
    <xf numFmtId="0" fontId="11" fillId="0" borderId="5" xfId="0" applyFont="1" applyBorder="1"/>
    <xf numFmtId="0" fontId="11" fillId="3" borderId="5" xfId="0" applyFont="1" applyFill="1" applyBorder="1"/>
    <xf numFmtId="0" fontId="12" fillId="0" borderId="0" xfId="1" applyBorder="1"/>
    <xf numFmtId="0" fontId="8" fillId="0" borderId="0" xfId="0" applyFont="1"/>
    <xf numFmtId="0" fontId="0" fillId="5" borderId="9" xfId="0" applyFill="1" applyBorder="1"/>
    <xf numFmtId="0" fontId="0" fillId="0" borderId="9" xfId="0" applyBorder="1"/>
    <xf numFmtId="0" fontId="12" fillId="5" borderId="9" xfId="1" applyFill="1" applyBorder="1"/>
    <xf numFmtId="0" fontId="12" fillId="0" borderId="9" xfId="1" applyBorder="1"/>
    <xf numFmtId="0" fontId="13" fillId="4" borderId="10" xfId="0" applyFont="1" applyFill="1" applyBorder="1"/>
    <xf numFmtId="0" fontId="0" fillId="0" borderId="11" xfId="0" applyBorder="1"/>
    <xf numFmtId="0" fontId="12" fillId="0" borderId="11" xfId="1" applyBorder="1"/>
    <xf numFmtId="0" fontId="15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5" xfId="0" applyFont="1" applyBorder="1"/>
    <xf numFmtId="0" fontId="15" fillId="0" borderId="14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7" fillId="2" borderId="7" xfId="0" applyFont="1" applyFill="1" applyBorder="1" applyAlignment="1">
      <alignment horizontal="center"/>
    </xf>
    <xf numFmtId="0" fontId="11" fillId="0" borderId="0" xfId="0" applyFont="1"/>
    <xf numFmtId="0" fontId="10" fillId="2" borderId="0" xfId="0" applyFont="1" applyFill="1" applyAlignment="1">
      <alignment horizontal="center"/>
    </xf>
    <xf numFmtId="0" fontId="0" fillId="0" borderId="14" xfId="0" applyBorder="1"/>
    <xf numFmtId="0" fontId="0" fillId="0" borderId="17" xfId="0" applyBorder="1"/>
    <xf numFmtId="0" fontId="2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" fillId="0" borderId="0" xfId="0" applyFont="1"/>
    <xf numFmtId="0" fontId="0" fillId="0" borderId="12" xfId="0" applyBorder="1"/>
    <xf numFmtId="0" fontId="8" fillId="0" borderId="16" xfId="0" applyFont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0" fillId="0" borderId="20" xfId="0" applyBorder="1"/>
    <xf numFmtId="0" fontId="0" fillId="0" borderId="0" xfId="0" applyNumberFormat="1"/>
    <xf numFmtId="3" fontId="1" fillId="0" borderId="18" xfId="0" applyNumberFormat="1" applyFont="1" applyBorder="1" applyAlignment="1">
      <alignment horizontal="right"/>
    </xf>
    <xf numFmtId="3" fontId="0" fillId="0" borderId="18" xfId="0" applyNumberFormat="1" applyBorder="1" applyAlignment="1">
      <alignment horizontal="right"/>
    </xf>
    <xf numFmtId="0" fontId="0" fillId="0" borderId="18" xfId="0" applyNumberFormat="1" applyBorder="1" applyAlignment="1">
      <alignment horizontal="right"/>
    </xf>
    <xf numFmtId="0" fontId="8" fillId="0" borderId="15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right"/>
    </xf>
    <xf numFmtId="0" fontId="18" fillId="0" borderId="13" xfId="0" applyFont="1" applyBorder="1" applyAlignment="1">
      <alignment horizontal="center"/>
    </xf>
    <xf numFmtId="0" fontId="3" fillId="0" borderId="14" xfId="0" applyFont="1" applyBorder="1"/>
    <xf numFmtId="0" fontId="9" fillId="0" borderId="21" xfId="0" applyFont="1" applyBorder="1"/>
    <xf numFmtId="167" fontId="18" fillId="0" borderId="22" xfId="0" applyNumberFormat="1" applyFont="1" applyBorder="1"/>
    <xf numFmtId="0" fontId="3" fillId="0" borderId="21" xfId="0" applyFont="1" applyBorder="1"/>
    <xf numFmtId="0" fontId="9" fillId="0" borderId="15" xfId="0" applyFont="1" applyBorder="1"/>
    <xf numFmtId="167" fontId="18" fillId="0" borderId="16" xfId="0" applyNumberFormat="1" applyFont="1" applyBorder="1"/>
    <xf numFmtId="0" fontId="3" fillId="0" borderId="22" xfId="0" applyFont="1" applyBorder="1"/>
    <xf numFmtId="0" fontId="3" fillId="0" borderId="15" xfId="0" applyFont="1" applyFill="1" applyBorder="1"/>
    <xf numFmtId="167" fontId="8" fillId="0" borderId="16" xfId="0" applyNumberFormat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52"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theme="5" tint="0.39997558519241921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Q499" totalsRowShown="0" headerRowDxfId="38" dataDxfId="37" tableBorderDxfId="36">
  <autoFilter ref="A1:Q499" xr:uid="{D1E78581-CDEC-49EE-B8DC-A227C0757631}"/>
  <tableColumns count="17">
    <tableColumn id="1" xr3:uid="{8B304A60-B8C9-4979-B67B-B25A9B864B72}" name="Column1" dataDxfId="35"/>
    <tableColumn id="2" xr3:uid="{2D3F64D4-436B-4836-A733-3255B375685E}" name="Region" dataDxfId="34"/>
    <tableColumn id="15" xr3:uid="{8F8F9EC8-B524-4266-87C9-B369FF884963}" name="Updated region" dataDxfId="33"/>
    <tableColumn id="3" xr3:uid="{E344FBA1-63F8-453C-BAB0-8696D5C5ADFA}" name="Category" dataDxfId="32"/>
    <tableColumn id="4" xr3:uid="{EEDFF6A6-A6B8-4584-81CC-3FEFDA60E218}" name="sales" dataDxfId="31"/>
    <tableColumn id="17" xr3:uid="{0FE78A95-ABA3-4420-9862-389F567677F4}" name="Sales_Range" dataDxfId="30">
      <calculatedColumnFormula>IF(Dmart_sales_data[[#This Row],[sales]]&gt;3000,"High Sales",IF(Dmart_sales_data[[#This Row],[sales]]&gt;1000,"Medium Sales","Low Sales"))</calculatedColumnFormula>
    </tableColumn>
    <tableColumn id="5" xr3:uid="{B480F4CD-1259-4AB9-84E7-ADE183D66042}" name="discount" dataDxfId="29"/>
    <tableColumn id="6" xr3:uid="{031D638C-25E8-4D1B-BC09-4AA98712CA5F}" name="quantity" dataDxfId="28"/>
    <tableColumn id="7" xr3:uid="{6F6EB0D8-424B-4AC8-81C9-7C00315E2B39}" name="order_date" dataDxfId="27"/>
    <tableColumn id="8" xr3:uid="{0655DCF6-A9AE-4DBC-8BCD-0DDB91A76E3F}" name="delivery_date" dataDxfId="26"/>
    <tableColumn id="9" xr3:uid="{4A08809E-03F7-4D5D-91CC-E0D9BC4E6CCD}" name="customer_type" dataDxfId="25"/>
    <tableColumn id="10" xr3:uid="{1B22ACAF-6F45-4EF9-BD4D-3882847DEADD}" name="customer_type2" dataDxfId="24"/>
    <tableColumn id="11" xr3:uid="{1AAA8999-D7A1-4DB5-B4DA-131DA9CFBC1D}" name="payment_mode" dataDxfId="23"/>
    <tableColumn id="12" xr3:uid="{47AC25B1-7621-493D-B41B-C4A660573B07}" name="profit" dataDxfId="22"/>
    <tableColumn id="14" xr3:uid="{285DAA76-019F-4DAE-9C58-731537A4E5A8}" name="Updated_City" dataDxfId="21"/>
    <tableColumn id="13" xr3:uid="{B1583274-EA92-4587-97FE-7E9FCE51D726}" name="city" dataDxfId="20"/>
    <tableColumn id="18" xr3:uid="{740C088C-8609-4AAD-81B8-DF0D9B02079A}" name="Discount or Not" dataDxfId="19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18" tableBorderDxfId="17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FFA04-0D55-47FF-B03F-46AEB7B93CCC}" name="Table1" displayName="Table1" ref="E7:M11" totalsRowShown="0" headerRowDxfId="16" headerRowBorderDxfId="15" tableBorderDxfId="14" totalsRowBorderDxfId="13">
  <autoFilter ref="E7:M11" xr:uid="{591FFA04-0D55-47FF-B03F-46AEB7B93CCC}"/>
  <tableColumns count="9">
    <tableColumn id="1" xr3:uid="{7A511605-F386-44F8-8EA9-21F82B34DE6B}" name="First_Name"/>
    <tableColumn id="2" xr3:uid="{E552F156-2AD3-4A2A-A727-178B5E3E01BD}" name="Last_Name"/>
    <tableColumn id="3" xr3:uid="{4D5F7927-934E-4493-9A7B-53019E65BD03}" name="Full_Name"/>
    <tableColumn id="4" xr3:uid="{08096402-AD99-4326-8ED2-9DBA430F35BF}" name="email"/>
    <tableColumn id="5" xr3:uid="{A4AE2F81-EAA5-4C19-918F-47958DBE8FFB}" name="usernames"/>
    <tableColumn id="6" xr3:uid="{58D81879-D98C-46CA-B48F-8BD8FB33D920}" name="Contact_No"/>
    <tableColumn id="7" xr3:uid="{7011B005-EB71-4808-A380-53EAAADF0142}" name="10Digit_no"/>
    <tableColumn id="8" xr3:uid="{C0774D2A-F316-48BE-A8C5-4E4D0F9E160A}" name="First two _no"/>
    <tableColumn id="9" xr3:uid="{6EEC58A6-07A6-4350-ACA8-25F676B25EB5}" name="first_three no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582CC2-34E1-4108-B90B-B0A79AC476DF}" name="Table4" displayName="Table4" ref="H18:J23" totalsRowShown="0" headerRowBorderDxfId="51" tableBorderDxfId="50" totalsRowBorderDxfId="49">
  <autoFilter ref="H18:J23" xr:uid="{C4582CC2-34E1-4108-B90B-B0A79AC476DF}"/>
  <tableColumns count="3">
    <tableColumn id="1" xr3:uid="{2E1B0446-2B2E-4C3D-A1EE-391AF9212486}" name="Name " dataDxfId="48"/>
    <tableColumn id="2" xr3:uid="{19AB838D-F57F-4448-AE00-5E4AA9FB304C}" name="Salary" dataDxfId="47"/>
    <tableColumn id="3" xr3:uid="{B096BCFB-275E-45AA-A72E-D0C36078B65E}" name="Bonus" dataDxfId="46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8ED26-A613-4F4E-A465-CC70B9528A2A}" name="Table5" displayName="Table5" ref="H8:J13" totalsRowShown="0" headerRowDxfId="45" headerRowBorderDxfId="44" tableBorderDxfId="43" totalsRowBorderDxfId="42">
  <autoFilter ref="H8:J13" xr:uid="{EDE8ED26-A613-4F4E-A465-CC70B9528A2A}"/>
  <tableColumns count="3">
    <tableColumn id="1" xr3:uid="{CFB5A7CD-331C-4C43-96A8-0EF34910777D}" name="Name " dataDxfId="41"/>
    <tableColumn id="2" xr3:uid="{CB401229-AA4D-4F02-997A-EECEC42124A1}" name="Marks" dataDxfId="40"/>
    <tableColumn id="3" xr3:uid="{032BA486-4C96-46E4-9FCC-835E6841B1B4}" name="Grade" dataDxfId="39">
      <calculatedColumnFormula>IF(I9&gt;=90,"A++",IF(I9&gt;75,"A+",IF(I9&gt;60,"A",IF(I9&gt;40,"B","Fail"))))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0C1234-3244-41FE-AADF-1A185E3361D9}" name="Table6" displayName="Table6" ref="P17:R22" totalsRowShown="0" headerRowDxfId="6" headerRowBorderDxfId="11" tableBorderDxfId="12" totalsRowBorderDxfId="10">
  <autoFilter ref="P17:R22" xr:uid="{1A0C1234-3244-41FE-AADF-1A185E3361D9}"/>
  <tableColumns count="3">
    <tableColumn id="1" xr3:uid="{B127EBF8-5637-44F7-83D3-381997DBE027}" name="Number 1" dataDxfId="9"/>
    <tableColumn id="2" xr3:uid="{C43106B6-1733-443D-94FA-BECDAC1C755A}" name="Number 2" dataDxfId="8"/>
    <tableColumn id="3" xr3:uid="{F76B590F-EE8E-45BA-9CE4-30BC585483D7}" name="Division" dataDxfId="7">
      <calculatedColumnFormula>IFERROR(P18/Q18,"Cannot Devide by Zero")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CE1BBE-C5AD-43B2-961F-3CA9A2EB2A9F}" name="Table8" displayName="Table8" ref="B3:D9" totalsRowShown="0" headerRowBorderDxfId="4" tableBorderDxfId="5" totalsRowBorderDxfId="3">
  <autoFilter ref="B3:D9" xr:uid="{DACE1BBE-C5AD-43B2-961F-3CA9A2EB2A9F}"/>
  <tableColumns count="3">
    <tableColumn id="1" xr3:uid="{01EE2967-652D-4F72-8D82-47940A310F22}" name="Category" dataDxfId="2"/>
    <tableColumn id="2" xr3:uid="{83D94CD6-8657-4942-BDBA-E7199934938C}" name="Food" dataDxfId="1"/>
    <tableColumn id="3" xr3:uid="{84FFB931-E43C-401F-A346-99CA6CFFFDBA}" name="Sales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sanju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L1" zoomScale="99" zoomScaleNormal="99" workbookViewId="0">
      <selection activeCell="T15" sqref="T15"/>
    </sheetView>
  </sheetViews>
  <sheetFormatPr defaultColWidth="12.6640625" defaultRowHeight="15" customHeight="1" x14ac:dyDescent="0.3"/>
  <cols>
    <col min="1" max="1" width="10.6640625" customWidth="1"/>
    <col min="2" max="3" width="11.44140625" customWidth="1"/>
    <col min="4" max="4" width="12.77734375" bestFit="1" customWidth="1"/>
    <col min="5" max="5" width="10.21875" bestFit="1" customWidth="1"/>
    <col min="6" max="6" width="16.218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23.5546875" bestFit="1" customWidth="1"/>
    <col min="14" max="14" width="11.33203125" customWidth="1"/>
    <col min="15" max="15" width="21.109375" bestFit="1" customWidth="1"/>
    <col min="16" max="16" width="15" customWidth="1"/>
    <col min="17" max="17" width="23.21875" bestFit="1" customWidth="1"/>
    <col min="18" max="18" width="8.6640625" customWidth="1"/>
    <col min="19" max="19" width="50.77734375" bestFit="1" customWidth="1"/>
    <col min="20" max="20" width="15.88671875" customWidth="1"/>
    <col min="21" max="26" width="8.6640625" customWidth="1"/>
  </cols>
  <sheetData>
    <row r="1" spans="1:28" ht="14.25" customHeight="1" x14ac:dyDescent="0.3">
      <c r="A1" s="20" t="s">
        <v>0</v>
      </c>
      <c r="B1" s="21" t="s">
        <v>1</v>
      </c>
      <c r="C1" s="21" t="s">
        <v>577</v>
      </c>
      <c r="D1" s="21" t="s">
        <v>2</v>
      </c>
      <c r="E1" s="21" t="s">
        <v>3</v>
      </c>
      <c r="F1" s="54" t="s">
        <v>610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542</v>
      </c>
      <c r="M1" s="22" t="s">
        <v>9</v>
      </c>
      <c r="N1" s="22" t="s">
        <v>10</v>
      </c>
      <c r="O1" s="25" t="s">
        <v>544</v>
      </c>
      <c r="P1" s="23" t="s">
        <v>11</v>
      </c>
      <c r="Q1" s="56" t="s">
        <v>611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7" t="s">
        <v>17</v>
      </c>
      <c r="Q2" s="55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8" t="s">
        <v>18</v>
      </c>
      <c r="B3" s="9" t="s">
        <v>576</v>
      </c>
      <c r="C3" s="9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20</v>
      </c>
      <c r="M3" s="10" t="s">
        <v>21</v>
      </c>
      <c r="N3" s="10">
        <v>971.41</v>
      </c>
      <c r="O3" s="27" t="s">
        <v>79</v>
      </c>
      <c r="P3" s="12" t="s">
        <v>22</v>
      </c>
      <c r="Q3" s="55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x14ac:dyDescent="0.3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20</v>
      </c>
      <c r="M4" s="15" t="s">
        <v>26</v>
      </c>
      <c r="N4" s="15">
        <v>769.08</v>
      </c>
      <c r="O4" s="28" t="s">
        <v>27</v>
      </c>
      <c r="P4" s="17" t="s">
        <v>27</v>
      </c>
      <c r="Q4" s="55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x14ac:dyDescent="0.3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15</v>
      </c>
      <c r="M5" s="10" t="s">
        <v>16</v>
      </c>
      <c r="N5" s="10">
        <v>71.61</v>
      </c>
      <c r="O5" s="27" t="s">
        <v>35</v>
      </c>
      <c r="P5" s="18" t="s">
        <v>30</v>
      </c>
      <c r="Q5" s="55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81" t="s">
        <v>629</v>
      </c>
      <c r="T5" s="82"/>
      <c r="U5" s="1"/>
      <c r="V5" s="1"/>
      <c r="W5" s="1"/>
      <c r="X5" s="1"/>
      <c r="Y5" s="1"/>
      <c r="Z5" s="1"/>
      <c r="AA5" s="1"/>
      <c r="AB5" s="1"/>
    </row>
    <row r="6" spans="1:28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32</v>
      </c>
      <c r="M6" s="15" t="s">
        <v>26</v>
      </c>
      <c r="N6" s="15">
        <v>621.91999999999996</v>
      </c>
      <c r="O6" s="27" t="s">
        <v>17</v>
      </c>
      <c r="P6" s="17" t="s">
        <v>17</v>
      </c>
      <c r="Q6" s="55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83" t="s">
        <v>613</v>
      </c>
      <c r="T6" s="84">
        <f>SUMIF(Dmart_sales_data[payment_mode],"=UPI",Dmart_sales_data[sales])</f>
        <v>386412.25</v>
      </c>
      <c r="U6" s="1"/>
      <c r="V6" s="1"/>
      <c r="W6" s="1"/>
      <c r="X6" s="1"/>
      <c r="Y6" s="1"/>
      <c r="Z6" s="1"/>
      <c r="AA6" s="1"/>
      <c r="AB6" s="1"/>
    </row>
    <row r="7" spans="1:28" ht="14.25" customHeight="1" x14ac:dyDescent="0.3">
      <c r="A7" s="8" t="s">
        <v>33</v>
      </c>
      <c r="B7" s="9" t="s">
        <v>576</v>
      </c>
      <c r="C7" s="9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15</v>
      </c>
      <c r="M7" s="10" t="s">
        <v>16</v>
      </c>
      <c r="N7" s="10">
        <v>578.94000000000005</v>
      </c>
      <c r="O7" s="27" t="s">
        <v>35</v>
      </c>
      <c r="P7" s="12" t="s">
        <v>35</v>
      </c>
      <c r="Q7" s="55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85"/>
      <c r="T7" s="84"/>
      <c r="U7" s="1"/>
      <c r="V7" s="1"/>
      <c r="W7" s="1"/>
      <c r="X7" s="1"/>
      <c r="Y7" s="1"/>
      <c r="Z7" s="1"/>
      <c r="AA7" s="1"/>
      <c r="AB7" s="1"/>
    </row>
    <row r="8" spans="1:28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32</v>
      </c>
      <c r="M8" s="15" t="s">
        <v>26</v>
      </c>
      <c r="N8" s="15">
        <v>110.31</v>
      </c>
      <c r="O8" s="27" t="s">
        <v>17</v>
      </c>
      <c r="P8" s="17" t="s">
        <v>17</v>
      </c>
      <c r="Q8" s="55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83" t="s">
        <v>614</v>
      </c>
      <c r="T8" s="84">
        <f>SUMIF(Dmart_sales_data[payment_mode],"=Cash",Dmart_sales_data[sales])</f>
        <v>522964.3</v>
      </c>
      <c r="U8" s="1"/>
      <c r="V8" s="1"/>
      <c r="W8" s="1"/>
      <c r="X8" s="1"/>
      <c r="Y8" s="1"/>
      <c r="Z8" s="1"/>
      <c r="AA8" s="1"/>
      <c r="AB8" s="1"/>
    </row>
    <row r="9" spans="1:28" ht="14.25" customHeight="1" x14ac:dyDescent="0.3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20</v>
      </c>
      <c r="M9" s="10" t="s">
        <v>16</v>
      </c>
      <c r="N9" s="10">
        <v>91.68</v>
      </c>
      <c r="O9" s="27" t="s">
        <v>27</v>
      </c>
      <c r="P9" s="24" t="s">
        <v>543</v>
      </c>
      <c r="Q9" s="55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85"/>
      <c r="T9" s="84"/>
      <c r="U9" s="1"/>
      <c r="V9" s="1"/>
      <c r="W9" s="1"/>
      <c r="X9" s="1"/>
      <c r="Y9" s="1"/>
      <c r="Z9" s="1"/>
      <c r="AA9" s="1"/>
      <c r="AB9" s="1"/>
    </row>
    <row r="10" spans="1:28" ht="14.25" customHeight="1" x14ac:dyDescent="0.3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20</v>
      </c>
      <c r="M10" s="15" t="s">
        <v>21</v>
      </c>
      <c r="N10" s="15">
        <v>995.78</v>
      </c>
      <c r="O10" s="28" t="s">
        <v>41</v>
      </c>
      <c r="P10" s="17" t="s">
        <v>41</v>
      </c>
      <c r="Q10" s="55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86" t="s">
        <v>615</v>
      </c>
      <c r="T10" s="87">
        <f>SUMIF(Dmart_sales_data[payment_mode],"=Card",Dmart_sales_data[sales])</f>
        <v>413292.63999999996</v>
      </c>
      <c r="U10" s="1"/>
      <c r="V10" s="1"/>
      <c r="W10" s="1"/>
      <c r="X10" s="1"/>
      <c r="Y10" s="1"/>
      <c r="Z10" s="1"/>
      <c r="AA10" s="1"/>
      <c r="AB10" s="1"/>
    </row>
    <row r="11" spans="1:28" ht="14.25" customHeight="1" x14ac:dyDescent="0.3">
      <c r="A11" s="8" t="s">
        <v>42</v>
      </c>
      <c r="B11" s="9" t="s">
        <v>576</v>
      </c>
      <c r="C11" s="9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32</v>
      </c>
      <c r="M11" s="10" t="s">
        <v>26</v>
      </c>
      <c r="N11" s="10">
        <v>102.96</v>
      </c>
      <c r="O11" s="27" t="s">
        <v>79</v>
      </c>
      <c r="P11" s="12" t="s">
        <v>22</v>
      </c>
      <c r="Q11" s="55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x14ac:dyDescent="0.3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20</v>
      </c>
      <c r="M12" s="15" t="s">
        <v>26</v>
      </c>
      <c r="N12" s="15">
        <v>542.82000000000005</v>
      </c>
      <c r="O12" s="27" t="s">
        <v>41</v>
      </c>
      <c r="P12" s="17" t="s">
        <v>44</v>
      </c>
      <c r="Q12" s="55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81" t="s">
        <v>630</v>
      </c>
      <c r="T12" s="82"/>
      <c r="U12" s="1"/>
      <c r="V12" s="1"/>
      <c r="W12" s="1"/>
      <c r="X12" s="1"/>
      <c r="Y12" s="1"/>
      <c r="Z12" s="1"/>
      <c r="AA12" s="1"/>
      <c r="AB12" s="1"/>
    </row>
    <row r="13" spans="1:28" ht="14.25" customHeight="1" x14ac:dyDescent="0.3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32</v>
      </c>
      <c r="M13" s="10" t="s">
        <v>16</v>
      </c>
      <c r="N13" s="10">
        <v>1028.47</v>
      </c>
      <c r="O13" s="27" t="s">
        <v>41</v>
      </c>
      <c r="P13" s="12" t="s">
        <v>41</v>
      </c>
      <c r="Q13" s="55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83" t="s">
        <v>628</v>
      </c>
      <c r="T13" s="84">
        <f>SUMIFS(Dmart_sales_data[sales],Dmart_sales_data[Category],"=Clothing",Dmart_sales_data[Updated region],"=East")</f>
        <v>60655.859999999993</v>
      </c>
      <c r="U13" s="1"/>
      <c r="V13" s="1"/>
      <c r="W13" s="1"/>
      <c r="X13" s="1"/>
      <c r="Y13" s="1"/>
      <c r="Z13" s="1"/>
      <c r="AA13" s="1"/>
      <c r="AB13" s="1"/>
    </row>
    <row r="14" spans="1:28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32</v>
      </c>
      <c r="M14" s="15" t="s">
        <v>26</v>
      </c>
      <c r="N14" s="15">
        <v>131.5</v>
      </c>
      <c r="O14" s="27" t="s">
        <v>35</v>
      </c>
      <c r="P14" s="17" t="s">
        <v>30</v>
      </c>
      <c r="Q14" s="55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85"/>
      <c r="T14" s="88"/>
      <c r="U14" s="1"/>
      <c r="V14" s="1"/>
      <c r="W14" s="1"/>
      <c r="X14" s="1"/>
      <c r="Y14" s="1"/>
      <c r="Z14" s="1"/>
      <c r="AA14" s="1"/>
      <c r="AB14" s="1"/>
    </row>
    <row r="15" spans="1:28" ht="14.25" customHeight="1" x14ac:dyDescent="0.3">
      <c r="A15" s="8" t="s">
        <v>47</v>
      </c>
      <c r="B15" s="9" t="s">
        <v>576</v>
      </c>
      <c r="C15" s="9" t="s">
        <v>576</v>
      </c>
      <c r="D15" s="10" t="s">
        <v>14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15</v>
      </c>
      <c r="M15" s="10" t="s">
        <v>26</v>
      </c>
      <c r="N15" s="10">
        <v>255.49</v>
      </c>
      <c r="O15" s="27" t="s">
        <v>27</v>
      </c>
      <c r="P15" s="12" t="s">
        <v>48</v>
      </c>
      <c r="Q15" s="55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89" t="s">
        <v>631</v>
      </c>
      <c r="T15" s="90">
        <f>SUMIFS(Dmart_sales_data[sales],Dmart_sales_data[Category],"Electronics",Dmart_sales_data[Updated region],"North",Dmart_sales_data[discount],"&gt;0.40")</f>
        <v>36091.269999999997</v>
      </c>
      <c r="U15" s="19"/>
      <c r="V15" s="1"/>
      <c r="W15" s="1"/>
      <c r="X15" s="1"/>
      <c r="Y15" s="1"/>
      <c r="Z15" s="1"/>
      <c r="AA15" s="1"/>
      <c r="AB15" s="1"/>
    </row>
    <row r="16" spans="1:28" ht="14.25" customHeight="1" x14ac:dyDescent="0.3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20</v>
      </c>
      <c r="M16" s="15" t="s">
        <v>16</v>
      </c>
      <c r="N16" s="15">
        <v>804.36</v>
      </c>
      <c r="O16" s="27" t="s">
        <v>27</v>
      </c>
      <c r="P16" s="17" t="s">
        <v>39</v>
      </c>
      <c r="Q16" s="55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"/>
      <c r="T16" s="19"/>
      <c r="U16" s="19"/>
      <c r="V16" s="1"/>
      <c r="W16" s="1"/>
      <c r="X16" s="1"/>
      <c r="Y16" s="1"/>
      <c r="Z16" s="1"/>
      <c r="AA16" s="1"/>
      <c r="AB16" s="1"/>
    </row>
    <row r="17" spans="1:28" ht="14.25" customHeight="1" x14ac:dyDescent="0.3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15</v>
      </c>
      <c r="M17" s="10" t="s">
        <v>21</v>
      </c>
      <c r="N17" s="10">
        <v>284.91000000000003</v>
      </c>
      <c r="O17" s="27" t="s">
        <v>41</v>
      </c>
      <c r="P17" s="12" t="s">
        <v>41</v>
      </c>
      <c r="Q17" s="55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"/>
      <c r="T17" s="19"/>
      <c r="U17" s="19"/>
      <c r="V17" s="1"/>
      <c r="W17" s="1"/>
      <c r="X17" s="1"/>
      <c r="Y17" s="1"/>
      <c r="Z17" s="1"/>
      <c r="AA17" s="1"/>
      <c r="AB17" s="1"/>
    </row>
    <row r="18" spans="1:28" ht="14.25" customHeight="1" x14ac:dyDescent="0.3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15</v>
      </c>
      <c r="M18" s="15" t="s">
        <v>21</v>
      </c>
      <c r="N18" s="15">
        <v>504.83</v>
      </c>
      <c r="O18" s="27" t="s">
        <v>17</v>
      </c>
      <c r="P18" s="17" t="s">
        <v>52</v>
      </c>
      <c r="Q18" s="55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1"/>
      <c r="T18" s="19"/>
      <c r="U18" s="19"/>
      <c r="V18" s="1"/>
      <c r="W18" s="1"/>
      <c r="X18" s="1"/>
      <c r="Y18" s="1"/>
      <c r="Z18" s="1"/>
      <c r="AA18" s="1"/>
      <c r="AB18" s="1"/>
    </row>
    <row r="19" spans="1:28" ht="14.25" customHeight="1" x14ac:dyDescent="0.3">
      <c r="A19" s="8" t="s">
        <v>53</v>
      </c>
      <c r="B19" s="9" t="s">
        <v>576</v>
      </c>
      <c r="C19" s="9" t="s">
        <v>576</v>
      </c>
      <c r="D19" s="10" t="s">
        <v>14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20</v>
      </c>
      <c r="M19" s="10" t="s">
        <v>21</v>
      </c>
      <c r="N19" s="10">
        <v>978.07</v>
      </c>
      <c r="O19" s="27" t="s">
        <v>41</v>
      </c>
      <c r="P19" s="12" t="s">
        <v>44</v>
      </c>
      <c r="Q19" s="55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4.25" customHeight="1" x14ac:dyDescent="0.3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15</v>
      </c>
      <c r="M20" s="15" t="s">
        <v>16</v>
      </c>
      <c r="N20" s="15">
        <v>260.95</v>
      </c>
      <c r="O20" s="27" t="s">
        <v>79</v>
      </c>
      <c r="P20" s="17" t="s">
        <v>55</v>
      </c>
      <c r="Q20" s="55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4.25" customHeight="1" x14ac:dyDescent="0.3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20</v>
      </c>
      <c r="M21" s="10" t="s">
        <v>21</v>
      </c>
      <c r="N21" s="10">
        <v>727.29</v>
      </c>
      <c r="O21" s="27" t="s">
        <v>27</v>
      </c>
      <c r="P21" s="12" t="s">
        <v>39</v>
      </c>
      <c r="Q21" s="55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4.25" customHeight="1" x14ac:dyDescent="0.3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20</v>
      </c>
      <c r="M22" s="15" t="s">
        <v>26</v>
      </c>
      <c r="N22" s="15">
        <v>798.81</v>
      </c>
      <c r="O22" s="27" t="s">
        <v>35</v>
      </c>
      <c r="P22" s="17" t="s">
        <v>58</v>
      </c>
      <c r="Q22" s="55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4.25" customHeight="1" x14ac:dyDescent="0.3">
      <c r="A23" s="8" t="s">
        <v>59</v>
      </c>
      <c r="B23" s="9" t="s">
        <v>576</v>
      </c>
      <c r="C23" s="9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15</v>
      </c>
      <c r="M23" s="10" t="s">
        <v>26</v>
      </c>
      <c r="N23" s="10">
        <v>920.22</v>
      </c>
      <c r="O23" s="27" t="s">
        <v>27</v>
      </c>
      <c r="P23" s="12" t="s">
        <v>39</v>
      </c>
      <c r="Q23" s="55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4.25" customHeight="1" x14ac:dyDescent="0.3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20</v>
      </c>
      <c r="M24" s="15" t="s">
        <v>21</v>
      </c>
      <c r="N24" s="15">
        <v>931.37</v>
      </c>
      <c r="O24" s="27" t="s">
        <v>41</v>
      </c>
      <c r="P24" s="17" t="s">
        <v>41</v>
      </c>
      <c r="Q24" s="55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4.25" customHeight="1" x14ac:dyDescent="0.3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20</v>
      </c>
      <c r="M25" s="10" t="s">
        <v>26</v>
      </c>
      <c r="N25" s="10">
        <v>375.7</v>
      </c>
      <c r="O25" s="27" t="s">
        <v>35</v>
      </c>
      <c r="P25" s="12" t="s">
        <v>35</v>
      </c>
      <c r="Q25" s="55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20</v>
      </c>
      <c r="M26" s="15" t="s">
        <v>26</v>
      </c>
      <c r="N26" s="15">
        <v>1072.26</v>
      </c>
      <c r="O26" s="27" t="s">
        <v>100</v>
      </c>
      <c r="P26" s="17" t="s">
        <v>63</v>
      </c>
      <c r="Q26" s="55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8" t="s">
        <v>64</v>
      </c>
      <c r="B27" s="9" t="s">
        <v>576</v>
      </c>
      <c r="C27" s="9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20</v>
      </c>
      <c r="M27" s="10" t="s">
        <v>21</v>
      </c>
      <c r="N27" s="10">
        <v>526.66</v>
      </c>
      <c r="O27" s="27" t="s">
        <v>100</v>
      </c>
      <c r="P27" s="12" t="s">
        <v>65</v>
      </c>
      <c r="Q27" s="55" t="str">
        <f>IF(AND(Dmart_sales_data[[#This Row],[customer_type2]]="Member",OR(Dmart_sales_data[[#This Row],[payment_mode]]="UPI",Dmart_sales_data[[#This Row],[payment_mode]]="Card")),"yes","No")</f>
        <v>No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x14ac:dyDescent="0.3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15</v>
      </c>
      <c r="M28" s="15" t="s">
        <v>16</v>
      </c>
      <c r="N28" s="15">
        <v>207.61</v>
      </c>
      <c r="O28" s="27" t="s">
        <v>35</v>
      </c>
      <c r="P28" s="17" t="s">
        <v>58</v>
      </c>
      <c r="Q28" s="55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x14ac:dyDescent="0.3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32</v>
      </c>
      <c r="M29" s="10" t="s">
        <v>21</v>
      </c>
      <c r="N29" s="10">
        <v>689.74</v>
      </c>
      <c r="O29" s="27" t="s">
        <v>41</v>
      </c>
      <c r="P29" s="12" t="s">
        <v>68</v>
      </c>
      <c r="Q29" s="55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15</v>
      </c>
      <c r="M30" s="15" t="s">
        <v>16</v>
      </c>
      <c r="N30" s="15">
        <v>43.58</v>
      </c>
      <c r="O30" s="27" t="s">
        <v>41</v>
      </c>
      <c r="P30" s="17" t="s">
        <v>41</v>
      </c>
      <c r="Q30" s="55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8" t="s">
        <v>70</v>
      </c>
      <c r="B31" s="9" t="s">
        <v>576</v>
      </c>
      <c r="C31" s="9" t="s">
        <v>576</v>
      </c>
      <c r="D31" s="10" t="s">
        <v>14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32</v>
      </c>
      <c r="M31" s="10" t="s">
        <v>26</v>
      </c>
      <c r="N31" s="10">
        <v>422.33</v>
      </c>
      <c r="O31" s="27" t="s">
        <v>35</v>
      </c>
      <c r="P31" s="12" t="s">
        <v>35</v>
      </c>
      <c r="Q31" s="55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32</v>
      </c>
      <c r="M32" s="15" t="s">
        <v>21</v>
      </c>
      <c r="N32" s="15">
        <v>123.49</v>
      </c>
      <c r="O32" s="27" t="s">
        <v>41</v>
      </c>
      <c r="P32" s="17" t="s">
        <v>68</v>
      </c>
      <c r="Q32" s="55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4.25" customHeight="1" x14ac:dyDescent="0.3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32</v>
      </c>
      <c r="M33" s="10" t="s">
        <v>26</v>
      </c>
      <c r="N33" s="10">
        <v>697.03</v>
      </c>
      <c r="O33" s="27" t="s">
        <v>17</v>
      </c>
      <c r="P33" s="12" t="s">
        <v>17</v>
      </c>
      <c r="Q33" s="55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20</v>
      </c>
      <c r="M34" s="15" t="s">
        <v>26</v>
      </c>
      <c r="N34" s="15">
        <v>178.58</v>
      </c>
      <c r="O34" s="27" t="s">
        <v>79</v>
      </c>
      <c r="P34" s="17" t="s">
        <v>55</v>
      </c>
      <c r="Q34" s="55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x14ac:dyDescent="0.3">
      <c r="A35" s="8" t="s">
        <v>74</v>
      </c>
      <c r="B35" s="9" t="s">
        <v>576</v>
      </c>
      <c r="C35" s="9" t="s">
        <v>576</v>
      </c>
      <c r="D35" s="10" t="s">
        <v>14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32</v>
      </c>
      <c r="M35" s="10" t="s">
        <v>16</v>
      </c>
      <c r="N35" s="10">
        <v>1002.97</v>
      </c>
      <c r="O35" s="27" t="s">
        <v>27</v>
      </c>
      <c r="P35" s="12" t="s">
        <v>27</v>
      </c>
      <c r="Q35" s="55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x14ac:dyDescent="0.3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20</v>
      </c>
      <c r="M36" s="15" t="s">
        <v>26</v>
      </c>
      <c r="N36" s="15">
        <v>320.43</v>
      </c>
      <c r="O36" s="27" t="s">
        <v>17</v>
      </c>
      <c r="P36" s="17" t="s">
        <v>17</v>
      </c>
      <c r="Q36" s="55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20</v>
      </c>
      <c r="M37" s="10" t="s">
        <v>16</v>
      </c>
      <c r="N37" s="10">
        <v>177.84</v>
      </c>
      <c r="O37" s="27" t="s">
        <v>79</v>
      </c>
      <c r="P37" s="12" t="s">
        <v>55</v>
      </c>
      <c r="Q37" s="55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20</v>
      </c>
      <c r="M38" s="15" t="s">
        <v>21</v>
      </c>
      <c r="N38" s="15">
        <v>528.38</v>
      </c>
      <c r="O38" s="27" t="s">
        <v>17</v>
      </c>
      <c r="P38" s="17" t="s">
        <v>17</v>
      </c>
      <c r="Q38" s="55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8" t="s">
        <v>78</v>
      </c>
      <c r="B39" s="9" t="s">
        <v>576</v>
      </c>
      <c r="C39" s="9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15</v>
      </c>
      <c r="M39" s="10" t="s">
        <v>26</v>
      </c>
      <c r="N39" s="10">
        <v>586.69000000000005</v>
      </c>
      <c r="O39" s="27" t="s">
        <v>79</v>
      </c>
      <c r="P39" s="12" t="s">
        <v>79</v>
      </c>
      <c r="Q39" s="55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32</v>
      </c>
      <c r="M40" s="15" t="s">
        <v>16</v>
      </c>
      <c r="N40" s="15">
        <v>742.22</v>
      </c>
      <c r="O40" s="27" t="s">
        <v>35</v>
      </c>
      <c r="P40" s="17" t="s">
        <v>35</v>
      </c>
      <c r="Q40" s="55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15</v>
      </c>
      <c r="M41" s="10" t="s">
        <v>21</v>
      </c>
      <c r="N41" s="10">
        <v>119.91</v>
      </c>
      <c r="O41" s="27" t="s">
        <v>27</v>
      </c>
      <c r="P41" s="12" t="s">
        <v>39</v>
      </c>
      <c r="Q41" s="55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20</v>
      </c>
      <c r="M42" s="15" t="s">
        <v>26</v>
      </c>
      <c r="N42" s="15">
        <v>392.57</v>
      </c>
      <c r="O42" s="27" t="s">
        <v>79</v>
      </c>
      <c r="P42" s="17" t="s">
        <v>79</v>
      </c>
      <c r="Q42" s="55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8" t="s">
        <v>83</v>
      </c>
      <c r="B43" s="9" t="s">
        <v>576</v>
      </c>
      <c r="C43" s="9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15</v>
      </c>
      <c r="M43" s="10" t="s">
        <v>21</v>
      </c>
      <c r="N43" s="10">
        <v>765.08</v>
      </c>
      <c r="O43" s="27" t="s">
        <v>41</v>
      </c>
      <c r="P43" s="12" t="s">
        <v>68</v>
      </c>
      <c r="Q43" s="55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20</v>
      </c>
      <c r="M44" s="15" t="s">
        <v>26</v>
      </c>
      <c r="N44" s="15">
        <v>48.54</v>
      </c>
      <c r="O44" s="27" t="s">
        <v>41</v>
      </c>
      <c r="P44" s="17" t="s">
        <v>68</v>
      </c>
      <c r="Q44" s="55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15</v>
      </c>
      <c r="M45" s="10" t="s">
        <v>26</v>
      </c>
      <c r="N45" s="10">
        <v>235.05</v>
      </c>
      <c r="O45" s="27" t="s">
        <v>41</v>
      </c>
      <c r="P45" s="12" t="s">
        <v>41</v>
      </c>
      <c r="Q45" s="55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20</v>
      </c>
      <c r="M46" s="15" t="s">
        <v>21</v>
      </c>
      <c r="N46" s="15">
        <v>129.80000000000001</v>
      </c>
      <c r="O46" s="27" t="s">
        <v>41</v>
      </c>
      <c r="P46" s="17" t="s">
        <v>41</v>
      </c>
      <c r="Q46" s="55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8" t="s">
        <v>87</v>
      </c>
      <c r="B47" s="9" t="s">
        <v>576</v>
      </c>
      <c r="C47" s="9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20</v>
      </c>
      <c r="M47" s="10" t="s">
        <v>26</v>
      </c>
      <c r="N47" s="10">
        <v>588.79</v>
      </c>
      <c r="O47" s="27" t="s">
        <v>17</v>
      </c>
      <c r="P47" s="12" t="s">
        <v>17</v>
      </c>
      <c r="Q47" s="55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15</v>
      </c>
      <c r="M48" s="15" t="s">
        <v>21</v>
      </c>
      <c r="N48" s="15">
        <v>127.89</v>
      </c>
      <c r="O48" s="27" t="s">
        <v>17</v>
      </c>
      <c r="P48" s="17" t="s">
        <v>52</v>
      </c>
      <c r="Q48" s="55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20</v>
      </c>
      <c r="M49" s="10" t="s">
        <v>26</v>
      </c>
      <c r="N49" s="10">
        <v>249.34</v>
      </c>
      <c r="O49" s="27" t="s">
        <v>35</v>
      </c>
      <c r="P49" s="12" t="s">
        <v>30</v>
      </c>
      <c r="Q49" s="55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32</v>
      </c>
      <c r="M50" s="15" t="s">
        <v>26</v>
      </c>
      <c r="N50" s="15">
        <v>1097.26</v>
      </c>
      <c r="O50" s="27" t="s">
        <v>35</v>
      </c>
      <c r="P50" s="17" t="s">
        <v>58</v>
      </c>
      <c r="Q50" s="55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8" t="s">
        <v>91</v>
      </c>
      <c r="B51" s="9" t="s">
        <v>576</v>
      </c>
      <c r="C51" s="9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15</v>
      </c>
      <c r="M51" s="10" t="s">
        <v>26</v>
      </c>
      <c r="N51" s="10">
        <v>1139.21</v>
      </c>
      <c r="O51" s="27" t="s">
        <v>27</v>
      </c>
      <c r="P51" s="12" t="s">
        <v>39</v>
      </c>
      <c r="Q51" s="55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15</v>
      </c>
      <c r="M52" s="15" t="s">
        <v>16</v>
      </c>
      <c r="N52" s="15">
        <v>433.9</v>
      </c>
      <c r="O52" s="27" t="s">
        <v>27</v>
      </c>
      <c r="P52" s="17" t="s">
        <v>27</v>
      </c>
      <c r="Q52" s="55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20</v>
      </c>
      <c r="M53" s="10" t="s">
        <v>26</v>
      </c>
      <c r="N53" s="10">
        <v>687.58</v>
      </c>
      <c r="O53" s="27" t="s">
        <v>79</v>
      </c>
      <c r="P53" s="12" t="s">
        <v>22</v>
      </c>
      <c r="Q53" s="55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15</v>
      </c>
      <c r="M54" s="15" t="s">
        <v>26</v>
      </c>
      <c r="N54" s="15">
        <v>114.25</v>
      </c>
      <c r="O54" s="27" t="s">
        <v>17</v>
      </c>
      <c r="P54" s="17" t="s">
        <v>95</v>
      </c>
      <c r="Q54" s="55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8" t="s">
        <v>96</v>
      </c>
      <c r="B55" s="9" t="s">
        <v>576</v>
      </c>
      <c r="C55" s="9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32</v>
      </c>
      <c r="M55" s="10" t="s">
        <v>16</v>
      </c>
      <c r="N55" s="10">
        <v>20.43</v>
      </c>
      <c r="O55" s="27" t="s">
        <v>27</v>
      </c>
      <c r="P55" s="12" t="s">
        <v>39</v>
      </c>
      <c r="Q55" s="55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15</v>
      </c>
      <c r="M56" s="15" t="s">
        <v>16</v>
      </c>
      <c r="N56" s="15">
        <v>237.01</v>
      </c>
      <c r="O56" s="27" t="s">
        <v>41</v>
      </c>
      <c r="P56" s="17" t="s">
        <v>41</v>
      </c>
      <c r="Q56" s="55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32</v>
      </c>
      <c r="M57" s="10" t="s">
        <v>26</v>
      </c>
      <c r="N57" s="10">
        <v>278.48</v>
      </c>
      <c r="O57" s="27" t="s">
        <v>35</v>
      </c>
      <c r="P57" s="12" t="s">
        <v>35</v>
      </c>
      <c r="Q57" s="55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15</v>
      </c>
      <c r="M58" s="15" t="s">
        <v>26</v>
      </c>
      <c r="N58" s="15">
        <v>356.81</v>
      </c>
      <c r="O58" s="27" t="s">
        <v>100</v>
      </c>
      <c r="P58" s="17" t="s">
        <v>100</v>
      </c>
      <c r="Q58" s="55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8" t="s">
        <v>101</v>
      </c>
      <c r="B59" s="9" t="s">
        <v>576</v>
      </c>
      <c r="C59" s="9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32</v>
      </c>
      <c r="M59" s="10" t="s">
        <v>26</v>
      </c>
      <c r="N59" s="10">
        <v>581.75</v>
      </c>
      <c r="O59" s="27" t="s">
        <v>17</v>
      </c>
      <c r="P59" s="12" t="s">
        <v>95</v>
      </c>
      <c r="Q59" s="55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15</v>
      </c>
      <c r="M60" s="15" t="s">
        <v>21</v>
      </c>
      <c r="N60" s="15">
        <v>1320.22</v>
      </c>
      <c r="O60" s="27" t="s">
        <v>100</v>
      </c>
      <c r="P60" s="17" t="s">
        <v>63</v>
      </c>
      <c r="Q60" s="55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32</v>
      </c>
      <c r="M61" s="10" t="s">
        <v>21</v>
      </c>
      <c r="N61" s="10">
        <v>42.23</v>
      </c>
      <c r="O61" s="27" t="s">
        <v>17</v>
      </c>
      <c r="P61" s="12" t="s">
        <v>17</v>
      </c>
      <c r="Q61" s="55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20</v>
      </c>
      <c r="M62" s="15" t="s">
        <v>21</v>
      </c>
      <c r="N62" s="15">
        <v>835.81</v>
      </c>
      <c r="O62" s="27" t="s">
        <v>100</v>
      </c>
      <c r="P62" s="17" t="s">
        <v>65</v>
      </c>
      <c r="Q62" s="55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8" t="s">
        <v>105</v>
      </c>
      <c r="B63" s="9" t="s">
        <v>576</v>
      </c>
      <c r="C63" s="9" t="s">
        <v>576</v>
      </c>
      <c r="D63" s="10" t="s">
        <v>14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15</v>
      </c>
      <c r="M63" s="10" t="s">
        <v>26</v>
      </c>
      <c r="N63" s="10">
        <v>54.58</v>
      </c>
      <c r="O63" s="27" t="s">
        <v>35</v>
      </c>
      <c r="P63" s="12" t="s">
        <v>30</v>
      </c>
      <c r="Q63" s="55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15</v>
      </c>
      <c r="M64" s="15" t="s">
        <v>26</v>
      </c>
      <c r="N64" s="15">
        <v>922.83</v>
      </c>
      <c r="O64" s="27" t="s">
        <v>100</v>
      </c>
      <c r="P64" s="17" t="s">
        <v>100</v>
      </c>
      <c r="Q64" s="55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32</v>
      </c>
      <c r="M65" s="10" t="s">
        <v>21</v>
      </c>
      <c r="N65" s="10">
        <v>36.86</v>
      </c>
      <c r="O65" s="27" t="s">
        <v>100</v>
      </c>
      <c r="P65" s="12" t="s">
        <v>100</v>
      </c>
      <c r="Q65" s="55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15</v>
      </c>
      <c r="M66" s="15" t="s">
        <v>16</v>
      </c>
      <c r="N66" s="15">
        <v>499.78</v>
      </c>
      <c r="O66" s="27" t="s">
        <v>35</v>
      </c>
      <c r="P66" s="17" t="s">
        <v>30</v>
      </c>
      <c r="Q66" s="55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8" t="s">
        <v>109</v>
      </c>
      <c r="B67" s="9" t="s">
        <v>576</v>
      </c>
      <c r="C67" s="9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32</v>
      </c>
      <c r="M67" s="10" t="s">
        <v>16</v>
      </c>
      <c r="N67" s="10">
        <v>757.48</v>
      </c>
      <c r="O67" s="27" t="s">
        <v>41</v>
      </c>
      <c r="P67" s="12" t="s">
        <v>41</v>
      </c>
      <c r="Q67" s="55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20</v>
      </c>
      <c r="M68" s="15" t="s">
        <v>26</v>
      </c>
      <c r="N68" s="15">
        <v>17.88</v>
      </c>
      <c r="O68" s="27" t="s">
        <v>35</v>
      </c>
      <c r="P68" s="17" t="s">
        <v>35</v>
      </c>
      <c r="Q68" s="55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32</v>
      </c>
      <c r="M69" s="10" t="s">
        <v>26</v>
      </c>
      <c r="N69" s="10">
        <v>408.02</v>
      </c>
      <c r="O69" s="27" t="s">
        <v>41</v>
      </c>
      <c r="P69" s="12" t="s">
        <v>68</v>
      </c>
      <c r="Q69" s="55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15</v>
      </c>
      <c r="M70" s="15" t="s">
        <v>26</v>
      </c>
      <c r="N70" s="15">
        <v>542.05999999999995</v>
      </c>
      <c r="O70" s="27" t="s">
        <v>100</v>
      </c>
      <c r="P70" s="17" t="s">
        <v>100</v>
      </c>
      <c r="Q70" s="55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8" t="s">
        <v>113</v>
      </c>
      <c r="B71" s="9" t="s">
        <v>576</v>
      </c>
      <c r="C71" s="9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20</v>
      </c>
      <c r="M71" s="10" t="s">
        <v>21</v>
      </c>
      <c r="N71" s="10">
        <v>611.45000000000005</v>
      </c>
      <c r="O71" s="27" t="s">
        <v>35</v>
      </c>
      <c r="P71" s="12" t="s">
        <v>58</v>
      </c>
      <c r="Q71" s="55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32</v>
      </c>
      <c r="M72" s="15" t="s">
        <v>21</v>
      </c>
      <c r="N72" s="15">
        <v>752</v>
      </c>
      <c r="O72" s="27" t="s">
        <v>35</v>
      </c>
      <c r="P72" s="17" t="s">
        <v>35</v>
      </c>
      <c r="Q72" s="55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32</v>
      </c>
      <c r="M73" s="10" t="s">
        <v>21</v>
      </c>
      <c r="N73" s="10">
        <v>698.02</v>
      </c>
      <c r="O73" s="27" t="s">
        <v>79</v>
      </c>
      <c r="P73" s="12" t="s">
        <v>79</v>
      </c>
      <c r="Q73" s="55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20</v>
      </c>
      <c r="M74" s="15" t="s">
        <v>26</v>
      </c>
      <c r="N74" s="15">
        <v>1229.3</v>
      </c>
      <c r="O74" s="27" t="s">
        <v>100</v>
      </c>
      <c r="P74" s="17" t="s">
        <v>63</v>
      </c>
      <c r="Q74" s="55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8" t="s">
        <v>117</v>
      </c>
      <c r="B75" s="9" t="s">
        <v>576</v>
      </c>
      <c r="C75" s="9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15</v>
      </c>
      <c r="M75" s="10" t="s">
        <v>16</v>
      </c>
      <c r="N75" s="10">
        <v>800.39</v>
      </c>
      <c r="O75" s="27" t="s">
        <v>35</v>
      </c>
      <c r="P75" s="12" t="s">
        <v>30</v>
      </c>
      <c r="Q75" s="55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15</v>
      </c>
      <c r="M76" s="15" t="s">
        <v>21</v>
      </c>
      <c r="N76" s="15">
        <v>163.35</v>
      </c>
      <c r="O76" s="27" t="s">
        <v>17</v>
      </c>
      <c r="P76" s="17" t="s">
        <v>52</v>
      </c>
      <c r="Q76" s="55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15</v>
      </c>
      <c r="M77" s="10" t="s">
        <v>16</v>
      </c>
      <c r="N77" s="10">
        <v>743.22</v>
      </c>
      <c r="O77" s="27" t="s">
        <v>17</v>
      </c>
      <c r="P77" s="12" t="s">
        <v>52</v>
      </c>
      <c r="Q77" s="55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20</v>
      </c>
      <c r="M78" s="15" t="s">
        <v>16</v>
      </c>
      <c r="N78" s="15">
        <v>1440.78</v>
      </c>
      <c r="O78" s="27" t="s">
        <v>79</v>
      </c>
      <c r="P78" s="17" t="s">
        <v>55</v>
      </c>
      <c r="Q78" s="55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8" t="s">
        <v>121</v>
      </c>
      <c r="B79" s="9" t="s">
        <v>576</v>
      </c>
      <c r="C79" s="9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32</v>
      </c>
      <c r="M79" s="10" t="s">
        <v>16</v>
      </c>
      <c r="N79" s="10">
        <v>336.22</v>
      </c>
      <c r="O79" s="27" t="s">
        <v>17</v>
      </c>
      <c r="P79" s="12" t="s">
        <v>95</v>
      </c>
      <c r="Q79" s="55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20</v>
      </c>
      <c r="M80" s="15" t="s">
        <v>16</v>
      </c>
      <c r="N80" s="15">
        <v>151.09</v>
      </c>
      <c r="O80" s="27" t="s">
        <v>35</v>
      </c>
      <c r="P80" s="17" t="s">
        <v>30</v>
      </c>
      <c r="Q80" s="55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32</v>
      </c>
      <c r="M81" s="10" t="s">
        <v>16</v>
      </c>
      <c r="N81" s="10">
        <v>289.32</v>
      </c>
      <c r="O81" s="27" t="s">
        <v>41</v>
      </c>
      <c r="P81" s="12" t="s">
        <v>41</v>
      </c>
      <c r="Q81" s="55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20</v>
      </c>
      <c r="M82" s="15" t="s">
        <v>21</v>
      </c>
      <c r="N82" s="15">
        <v>684.94</v>
      </c>
      <c r="O82" s="27" t="s">
        <v>41</v>
      </c>
      <c r="P82" s="17" t="s">
        <v>41</v>
      </c>
      <c r="Q82" s="55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8" t="s">
        <v>125</v>
      </c>
      <c r="B83" s="9" t="s">
        <v>576</v>
      </c>
      <c r="C83" s="9" t="s">
        <v>576</v>
      </c>
      <c r="D83" s="10" t="s">
        <v>14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32</v>
      </c>
      <c r="M83" s="10" t="s">
        <v>16</v>
      </c>
      <c r="N83" s="10">
        <v>175.75</v>
      </c>
      <c r="O83" s="27" t="s">
        <v>27</v>
      </c>
      <c r="P83" s="12" t="s">
        <v>39</v>
      </c>
      <c r="Q83" s="55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32</v>
      </c>
      <c r="M84" s="15" t="s">
        <v>26</v>
      </c>
      <c r="N84" s="15">
        <v>171.87</v>
      </c>
      <c r="O84" s="27" t="s">
        <v>17</v>
      </c>
      <c r="P84" s="17" t="s">
        <v>95</v>
      </c>
      <c r="Q84" s="55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20</v>
      </c>
      <c r="M85" s="10" t="s">
        <v>21</v>
      </c>
      <c r="N85" s="10">
        <v>105.25</v>
      </c>
      <c r="O85" s="27" t="s">
        <v>35</v>
      </c>
      <c r="P85" s="12" t="s">
        <v>58</v>
      </c>
      <c r="Q85" s="55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20</v>
      </c>
      <c r="M86" s="15" t="s">
        <v>16</v>
      </c>
      <c r="N86" s="15">
        <v>754.77</v>
      </c>
      <c r="O86" s="27" t="s">
        <v>35</v>
      </c>
      <c r="P86" s="17" t="s">
        <v>58</v>
      </c>
      <c r="Q86" s="55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8" t="s">
        <v>129</v>
      </c>
      <c r="B87" s="9" t="s">
        <v>576</v>
      </c>
      <c r="C87" s="9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20</v>
      </c>
      <c r="M87" s="10" t="s">
        <v>16</v>
      </c>
      <c r="N87" s="10">
        <v>705.01</v>
      </c>
      <c r="O87" s="27" t="s">
        <v>41</v>
      </c>
      <c r="P87" s="12" t="s">
        <v>41</v>
      </c>
      <c r="Q87" s="55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32</v>
      </c>
      <c r="M88" s="15" t="s">
        <v>21</v>
      </c>
      <c r="N88" s="15">
        <v>719.11</v>
      </c>
      <c r="O88" s="27" t="s">
        <v>27</v>
      </c>
      <c r="P88" s="17" t="s">
        <v>27</v>
      </c>
      <c r="Q88" s="55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20</v>
      </c>
      <c r="M89" s="10" t="s">
        <v>16</v>
      </c>
      <c r="N89" s="10">
        <v>120.84</v>
      </c>
      <c r="O89" s="27" t="s">
        <v>79</v>
      </c>
      <c r="P89" s="12" t="s">
        <v>55</v>
      </c>
      <c r="Q89" s="55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32</v>
      </c>
      <c r="M90" s="15" t="s">
        <v>26</v>
      </c>
      <c r="N90" s="15">
        <v>1281.0999999999999</v>
      </c>
      <c r="O90" s="27" t="s">
        <v>35</v>
      </c>
      <c r="P90" s="17" t="s">
        <v>35</v>
      </c>
      <c r="Q90" s="55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8" t="s">
        <v>133</v>
      </c>
      <c r="B91" s="9" t="s">
        <v>576</v>
      </c>
      <c r="C91" s="9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32</v>
      </c>
      <c r="M91" s="10" t="s">
        <v>16</v>
      </c>
      <c r="N91" s="10">
        <v>203.17</v>
      </c>
      <c r="O91" s="27" t="s">
        <v>79</v>
      </c>
      <c r="P91" s="12" t="s">
        <v>79</v>
      </c>
      <c r="Q91" s="55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20</v>
      </c>
      <c r="M92" s="15" t="s">
        <v>21</v>
      </c>
      <c r="N92" s="15">
        <v>1325.93</v>
      </c>
      <c r="O92" s="27" t="s">
        <v>79</v>
      </c>
      <c r="P92" s="17" t="s">
        <v>55</v>
      </c>
      <c r="Q92" s="55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15</v>
      </c>
      <c r="M93" s="10" t="s">
        <v>21</v>
      </c>
      <c r="N93" s="10">
        <v>311.67</v>
      </c>
      <c r="O93" s="27" t="s">
        <v>35</v>
      </c>
      <c r="P93" s="12" t="s">
        <v>30</v>
      </c>
      <c r="Q93" s="55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15</v>
      </c>
      <c r="M94" s="15" t="s">
        <v>21</v>
      </c>
      <c r="N94" s="15">
        <v>469.27</v>
      </c>
      <c r="O94" s="27" t="s">
        <v>35</v>
      </c>
      <c r="P94" s="17" t="s">
        <v>30</v>
      </c>
      <c r="Q94" s="55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8" t="s">
        <v>137</v>
      </c>
      <c r="B95" s="9" t="s">
        <v>576</v>
      </c>
      <c r="C95" s="9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32</v>
      </c>
      <c r="M95" s="10" t="s">
        <v>26</v>
      </c>
      <c r="N95" s="10">
        <v>608.51</v>
      </c>
      <c r="O95" s="27" t="s">
        <v>100</v>
      </c>
      <c r="P95" s="12" t="s">
        <v>100</v>
      </c>
      <c r="Q95" s="55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32</v>
      </c>
      <c r="M96" s="15" t="s">
        <v>16</v>
      </c>
      <c r="N96" s="15">
        <v>241.86</v>
      </c>
      <c r="O96" s="27" t="s">
        <v>35</v>
      </c>
      <c r="P96" s="17" t="s">
        <v>35</v>
      </c>
      <c r="Q96" s="55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15</v>
      </c>
      <c r="M97" s="10" t="s">
        <v>21</v>
      </c>
      <c r="N97" s="10">
        <v>523.02</v>
      </c>
      <c r="O97" s="27" t="s">
        <v>17</v>
      </c>
      <c r="P97" s="12" t="s">
        <v>95</v>
      </c>
      <c r="Q97" s="55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32</v>
      </c>
      <c r="M98" s="15" t="s">
        <v>26</v>
      </c>
      <c r="N98" s="15">
        <v>764.06</v>
      </c>
      <c r="O98" s="27" t="s">
        <v>41</v>
      </c>
      <c r="P98" s="17" t="s">
        <v>68</v>
      </c>
      <c r="Q98" s="55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8" t="s">
        <v>141</v>
      </c>
      <c r="B99" s="9" t="s">
        <v>576</v>
      </c>
      <c r="C99" s="9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15</v>
      </c>
      <c r="M99" s="10" t="s">
        <v>26</v>
      </c>
      <c r="N99" s="10">
        <v>957.31</v>
      </c>
      <c r="O99" s="27" t="s">
        <v>35</v>
      </c>
      <c r="P99" s="12" t="s">
        <v>58</v>
      </c>
      <c r="Q99" s="55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32</v>
      </c>
      <c r="M100" s="15" t="s">
        <v>21</v>
      </c>
      <c r="N100" s="15">
        <v>180.83</v>
      </c>
      <c r="O100" s="27" t="s">
        <v>100</v>
      </c>
      <c r="P100" s="17" t="s">
        <v>63</v>
      </c>
      <c r="Q100" s="55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32</v>
      </c>
      <c r="M101" s="10" t="s">
        <v>21</v>
      </c>
      <c r="N101" s="10">
        <v>186.24</v>
      </c>
      <c r="O101" s="27" t="s">
        <v>27</v>
      </c>
      <c r="P101" s="12" t="s">
        <v>48</v>
      </c>
      <c r="Q101" s="55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20</v>
      </c>
      <c r="M102" s="15" t="s">
        <v>26</v>
      </c>
      <c r="N102" s="15">
        <v>306.17</v>
      </c>
      <c r="O102" s="27" t="s">
        <v>35</v>
      </c>
      <c r="P102" s="17" t="s">
        <v>30</v>
      </c>
      <c r="Q102" s="55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8" t="s">
        <v>145</v>
      </c>
      <c r="B103" s="9" t="s">
        <v>576</v>
      </c>
      <c r="C103" s="9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15</v>
      </c>
      <c r="M103" s="10" t="s">
        <v>21</v>
      </c>
      <c r="N103" s="10">
        <v>1077.1099999999999</v>
      </c>
      <c r="O103" s="27" t="s">
        <v>41</v>
      </c>
      <c r="P103" s="12" t="s">
        <v>41</v>
      </c>
      <c r="Q103" s="55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32</v>
      </c>
      <c r="M104" s="15" t="s">
        <v>21</v>
      </c>
      <c r="N104" s="15">
        <v>666.98</v>
      </c>
      <c r="O104" s="27" t="s">
        <v>79</v>
      </c>
      <c r="P104" s="17" t="s">
        <v>22</v>
      </c>
      <c r="Q104" s="55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15</v>
      </c>
      <c r="M105" s="10" t="s">
        <v>26</v>
      </c>
      <c r="N105" s="10">
        <v>777.62</v>
      </c>
      <c r="O105" s="27" t="s">
        <v>79</v>
      </c>
      <c r="P105" s="12" t="s">
        <v>22</v>
      </c>
      <c r="Q105" s="55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20</v>
      </c>
      <c r="M106" s="15" t="s">
        <v>16</v>
      </c>
      <c r="N106" s="15">
        <v>483.88</v>
      </c>
      <c r="O106" s="27" t="s">
        <v>17</v>
      </c>
      <c r="P106" s="17" t="s">
        <v>95</v>
      </c>
      <c r="Q106" s="55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8" t="s">
        <v>149</v>
      </c>
      <c r="B107" s="9" t="s">
        <v>576</v>
      </c>
      <c r="C107" s="9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15</v>
      </c>
      <c r="M107" s="10" t="s">
        <v>21</v>
      </c>
      <c r="N107" s="10">
        <v>587.57000000000005</v>
      </c>
      <c r="O107" s="27" t="s">
        <v>79</v>
      </c>
      <c r="P107" s="12" t="s">
        <v>55</v>
      </c>
      <c r="Q107" s="55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32</v>
      </c>
      <c r="M108" s="15" t="s">
        <v>26</v>
      </c>
      <c r="N108" s="15">
        <v>660.08</v>
      </c>
      <c r="O108" s="27" t="s">
        <v>35</v>
      </c>
      <c r="P108" s="17" t="s">
        <v>58</v>
      </c>
      <c r="Q108" s="55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15</v>
      </c>
      <c r="M109" s="10" t="s">
        <v>21</v>
      </c>
      <c r="N109" s="10">
        <v>1047.8699999999999</v>
      </c>
      <c r="O109" s="27" t="s">
        <v>79</v>
      </c>
      <c r="P109" s="12" t="s">
        <v>79</v>
      </c>
      <c r="Q109" s="55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20</v>
      </c>
      <c r="M110" s="15" t="s">
        <v>21</v>
      </c>
      <c r="N110" s="15">
        <v>1092.43</v>
      </c>
      <c r="O110" s="27" t="s">
        <v>17</v>
      </c>
      <c r="P110" s="17" t="s">
        <v>52</v>
      </c>
      <c r="Q110" s="55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8" t="s">
        <v>153</v>
      </c>
      <c r="B111" s="9" t="s">
        <v>576</v>
      </c>
      <c r="C111" s="9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15</v>
      </c>
      <c r="M111" s="10" t="s">
        <v>16</v>
      </c>
      <c r="N111" s="10">
        <v>604.07000000000005</v>
      </c>
      <c r="O111" s="27" t="s">
        <v>27</v>
      </c>
      <c r="P111" s="12" t="s">
        <v>39</v>
      </c>
      <c r="Q111" s="55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15</v>
      </c>
      <c r="M112" s="15" t="s">
        <v>21</v>
      </c>
      <c r="N112" s="15">
        <v>1168.31</v>
      </c>
      <c r="O112" s="27" t="s">
        <v>100</v>
      </c>
      <c r="P112" s="17" t="s">
        <v>63</v>
      </c>
      <c r="Q112" s="55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15</v>
      </c>
      <c r="M113" s="10" t="s">
        <v>21</v>
      </c>
      <c r="N113" s="10">
        <v>71.8</v>
      </c>
      <c r="O113" s="27" t="s">
        <v>41</v>
      </c>
      <c r="P113" s="12" t="s">
        <v>68</v>
      </c>
      <c r="Q113" s="55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15</v>
      </c>
      <c r="M114" s="15" t="s">
        <v>21</v>
      </c>
      <c r="N114" s="15">
        <v>546.45000000000005</v>
      </c>
      <c r="O114" s="27" t="s">
        <v>35</v>
      </c>
      <c r="P114" s="17" t="s">
        <v>58</v>
      </c>
      <c r="Q114" s="55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8" t="s">
        <v>157</v>
      </c>
      <c r="B115" s="9" t="s">
        <v>576</v>
      </c>
      <c r="C115" s="9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32</v>
      </c>
      <c r="M115" s="10" t="s">
        <v>26</v>
      </c>
      <c r="N115" s="10">
        <v>223.68</v>
      </c>
      <c r="O115" s="27" t="s">
        <v>35</v>
      </c>
      <c r="P115" s="12" t="s">
        <v>58</v>
      </c>
      <c r="Q115" s="55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15</v>
      </c>
      <c r="M116" s="15" t="s">
        <v>21</v>
      </c>
      <c r="N116" s="15">
        <v>153.62</v>
      </c>
      <c r="O116" s="27" t="s">
        <v>100</v>
      </c>
      <c r="P116" s="17" t="s">
        <v>65</v>
      </c>
      <c r="Q116" s="55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20</v>
      </c>
      <c r="M117" s="10" t="s">
        <v>21</v>
      </c>
      <c r="N117" s="10">
        <v>815.29</v>
      </c>
      <c r="O117" s="27" t="s">
        <v>79</v>
      </c>
      <c r="P117" s="12" t="s">
        <v>22</v>
      </c>
      <c r="Q117" s="55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15</v>
      </c>
      <c r="M118" s="15" t="s">
        <v>26</v>
      </c>
      <c r="N118" s="15">
        <v>817.55</v>
      </c>
      <c r="O118" s="27" t="s">
        <v>17</v>
      </c>
      <c r="P118" s="17" t="s">
        <v>95</v>
      </c>
      <c r="Q118" s="55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8" t="s">
        <v>161</v>
      </c>
      <c r="B119" s="9" t="s">
        <v>576</v>
      </c>
      <c r="C119" s="9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20</v>
      </c>
      <c r="M119" s="10" t="s">
        <v>21</v>
      </c>
      <c r="N119" s="10">
        <v>289.92</v>
      </c>
      <c r="O119" s="27" t="s">
        <v>17</v>
      </c>
      <c r="P119" s="12" t="s">
        <v>17</v>
      </c>
      <c r="Q119" s="55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20</v>
      </c>
      <c r="M120" s="15" t="s">
        <v>21</v>
      </c>
      <c r="N120" s="15">
        <v>274.36</v>
      </c>
      <c r="O120" s="27" t="s">
        <v>41</v>
      </c>
      <c r="P120" s="17" t="s">
        <v>68</v>
      </c>
      <c r="Q120" s="55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20</v>
      </c>
      <c r="M121" s="10" t="s">
        <v>21</v>
      </c>
      <c r="N121" s="10">
        <v>1022.41</v>
      </c>
      <c r="O121" s="27" t="s">
        <v>79</v>
      </c>
      <c r="P121" s="12" t="s">
        <v>79</v>
      </c>
      <c r="Q121" s="55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20</v>
      </c>
      <c r="M122" s="15" t="s">
        <v>16</v>
      </c>
      <c r="N122" s="15">
        <v>558.65</v>
      </c>
      <c r="O122" s="27" t="s">
        <v>17</v>
      </c>
      <c r="P122" s="17" t="s">
        <v>52</v>
      </c>
      <c r="Q122" s="55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8" t="s">
        <v>165</v>
      </c>
      <c r="B123" s="9" t="s">
        <v>576</v>
      </c>
      <c r="C123" s="9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32</v>
      </c>
      <c r="M123" s="10" t="s">
        <v>26</v>
      </c>
      <c r="N123" s="10">
        <v>40.409999999999997</v>
      </c>
      <c r="O123" s="27" t="s">
        <v>79</v>
      </c>
      <c r="P123" s="12" t="s">
        <v>79</v>
      </c>
      <c r="Q123" s="55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15</v>
      </c>
      <c r="M124" s="15" t="s">
        <v>26</v>
      </c>
      <c r="N124" s="15">
        <v>1045.7</v>
      </c>
      <c r="O124" s="27" t="s">
        <v>27</v>
      </c>
      <c r="P124" s="17" t="s">
        <v>27</v>
      </c>
      <c r="Q124" s="55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15</v>
      </c>
      <c r="M125" s="10" t="s">
        <v>26</v>
      </c>
      <c r="N125" s="10">
        <v>179.78</v>
      </c>
      <c r="O125" s="27" t="s">
        <v>35</v>
      </c>
      <c r="P125" s="12" t="s">
        <v>35</v>
      </c>
      <c r="Q125" s="55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32</v>
      </c>
      <c r="M126" s="15" t="s">
        <v>16</v>
      </c>
      <c r="N126" s="15">
        <v>789.67</v>
      </c>
      <c r="O126" s="27" t="s">
        <v>35</v>
      </c>
      <c r="P126" s="17" t="s">
        <v>30</v>
      </c>
      <c r="Q126" s="55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8" t="s">
        <v>169</v>
      </c>
      <c r="B127" s="9" t="s">
        <v>576</v>
      </c>
      <c r="C127" s="9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15</v>
      </c>
      <c r="M127" s="10" t="s">
        <v>26</v>
      </c>
      <c r="N127" s="10">
        <v>296.98</v>
      </c>
      <c r="O127" s="27" t="s">
        <v>41</v>
      </c>
      <c r="P127" s="12" t="s">
        <v>68</v>
      </c>
      <c r="Q127" s="55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32</v>
      </c>
      <c r="M128" s="15" t="s">
        <v>26</v>
      </c>
      <c r="N128" s="15">
        <v>333.34</v>
      </c>
      <c r="O128" s="27" t="s">
        <v>79</v>
      </c>
      <c r="P128" s="17" t="s">
        <v>22</v>
      </c>
      <c r="Q128" s="55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20</v>
      </c>
      <c r="M129" s="10" t="s">
        <v>26</v>
      </c>
      <c r="N129" s="10">
        <v>934.84</v>
      </c>
      <c r="O129" s="27" t="s">
        <v>27</v>
      </c>
      <c r="P129" s="12" t="s">
        <v>27</v>
      </c>
      <c r="Q129" s="55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15</v>
      </c>
      <c r="M130" s="15" t="s">
        <v>21</v>
      </c>
      <c r="N130" s="15">
        <v>197.42</v>
      </c>
      <c r="O130" s="27" t="s">
        <v>27</v>
      </c>
      <c r="P130" s="17" t="s">
        <v>39</v>
      </c>
      <c r="Q130" s="55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8" t="s">
        <v>173</v>
      </c>
      <c r="B131" s="9" t="s">
        <v>576</v>
      </c>
      <c r="C131" s="9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20</v>
      </c>
      <c r="M131" s="10" t="s">
        <v>16</v>
      </c>
      <c r="N131" s="10">
        <v>293.39999999999998</v>
      </c>
      <c r="O131" s="27" t="s">
        <v>17</v>
      </c>
      <c r="P131" s="12" t="s">
        <v>17</v>
      </c>
      <c r="Q131" s="55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15</v>
      </c>
      <c r="M132" s="15" t="s">
        <v>21</v>
      </c>
      <c r="N132" s="15">
        <v>602.37</v>
      </c>
      <c r="O132" s="27" t="s">
        <v>35</v>
      </c>
      <c r="P132" s="17" t="s">
        <v>35</v>
      </c>
      <c r="Q132" s="55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15</v>
      </c>
      <c r="M133" s="10" t="s">
        <v>26</v>
      </c>
      <c r="N133" s="10">
        <v>715.56</v>
      </c>
      <c r="O133" s="27" t="s">
        <v>41</v>
      </c>
      <c r="P133" s="12" t="s">
        <v>68</v>
      </c>
      <c r="Q133" s="55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15</v>
      </c>
      <c r="M134" s="15" t="s">
        <v>21</v>
      </c>
      <c r="N134" s="15">
        <v>265.5</v>
      </c>
      <c r="O134" s="27" t="s">
        <v>17</v>
      </c>
      <c r="P134" s="17" t="s">
        <v>52</v>
      </c>
      <c r="Q134" s="55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8" t="s">
        <v>177</v>
      </c>
      <c r="B135" s="9" t="s">
        <v>576</v>
      </c>
      <c r="C135" s="9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20</v>
      </c>
      <c r="M135" s="10" t="s">
        <v>26</v>
      </c>
      <c r="N135" s="10">
        <v>583.83000000000004</v>
      </c>
      <c r="O135" s="27" t="s">
        <v>17</v>
      </c>
      <c r="P135" s="12" t="s">
        <v>95</v>
      </c>
      <c r="Q135" s="55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32</v>
      </c>
      <c r="M136" s="15" t="s">
        <v>21</v>
      </c>
      <c r="N136" s="15">
        <v>478.2</v>
      </c>
      <c r="O136" s="27" t="s">
        <v>41</v>
      </c>
      <c r="P136" s="17" t="s">
        <v>44</v>
      </c>
      <c r="Q136" s="55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20</v>
      </c>
      <c r="M137" s="10" t="s">
        <v>21</v>
      </c>
      <c r="N137" s="10">
        <v>201.73</v>
      </c>
      <c r="O137" s="27" t="s">
        <v>41</v>
      </c>
      <c r="P137" s="12" t="s">
        <v>44</v>
      </c>
      <c r="Q137" s="55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32</v>
      </c>
      <c r="M138" s="15" t="s">
        <v>16</v>
      </c>
      <c r="N138" s="15">
        <v>428.41</v>
      </c>
      <c r="O138" s="27" t="s">
        <v>27</v>
      </c>
      <c r="P138" s="17" t="s">
        <v>39</v>
      </c>
      <c r="Q138" s="55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8" t="s">
        <v>181</v>
      </c>
      <c r="B139" s="9" t="s">
        <v>576</v>
      </c>
      <c r="C139" s="9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15</v>
      </c>
      <c r="M139" s="10" t="s">
        <v>26</v>
      </c>
      <c r="N139" s="10">
        <v>497.78</v>
      </c>
      <c r="O139" s="27" t="s">
        <v>27</v>
      </c>
      <c r="P139" s="12" t="s">
        <v>39</v>
      </c>
      <c r="Q139" s="55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15</v>
      </c>
      <c r="M140" s="15" t="s">
        <v>16</v>
      </c>
      <c r="N140" s="15">
        <v>167.08</v>
      </c>
      <c r="O140" s="27" t="s">
        <v>27</v>
      </c>
      <c r="P140" s="17" t="s">
        <v>39</v>
      </c>
      <c r="Q140" s="55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15</v>
      </c>
      <c r="M141" s="10" t="s">
        <v>26</v>
      </c>
      <c r="N141" s="10">
        <v>466.35</v>
      </c>
      <c r="O141" s="27" t="s">
        <v>17</v>
      </c>
      <c r="P141" s="12" t="s">
        <v>52</v>
      </c>
      <c r="Q141" s="55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15</v>
      </c>
      <c r="M142" s="15" t="s">
        <v>26</v>
      </c>
      <c r="N142" s="15">
        <v>44.61</v>
      </c>
      <c r="O142" s="27" t="s">
        <v>100</v>
      </c>
      <c r="P142" s="17" t="s">
        <v>65</v>
      </c>
      <c r="Q142" s="55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8" t="s">
        <v>185</v>
      </c>
      <c r="B143" s="9" t="s">
        <v>576</v>
      </c>
      <c r="C143" s="9" t="s">
        <v>576</v>
      </c>
      <c r="D143" s="10" t="s">
        <v>14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20</v>
      </c>
      <c r="M143" s="10" t="s">
        <v>26</v>
      </c>
      <c r="N143" s="10">
        <v>699.11</v>
      </c>
      <c r="O143" s="27" t="s">
        <v>41</v>
      </c>
      <c r="P143" s="12" t="s">
        <v>68</v>
      </c>
      <c r="Q143" s="55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32</v>
      </c>
      <c r="M144" s="15" t="s">
        <v>21</v>
      </c>
      <c r="N144" s="15">
        <v>858.27</v>
      </c>
      <c r="O144" s="27" t="s">
        <v>100</v>
      </c>
      <c r="P144" s="17" t="s">
        <v>100</v>
      </c>
      <c r="Q144" s="55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32</v>
      </c>
      <c r="M145" s="10" t="s">
        <v>16</v>
      </c>
      <c r="N145" s="10">
        <v>46.23</v>
      </c>
      <c r="O145" s="27" t="s">
        <v>27</v>
      </c>
      <c r="P145" s="12" t="s">
        <v>27</v>
      </c>
      <c r="Q145" s="55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32</v>
      </c>
      <c r="M146" s="15" t="s">
        <v>26</v>
      </c>
      <c r="N146" s="15">
        <v>171.37</v>
      </c>
      <c r="O146" s="27" t="s">
        <v>27</v>
      </c>
      <c r="P146" s="17" t="s">
        <v>39</v>
      </c>
      <c r="Q146" s="55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8" t="s">
        <v>189</v>
      </c>
      <c r="B147" s="9" t="s">
        <v>576</v>
      </c>
      <c r="C147" s="9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15</v>
      </c>
      <c r="M147" s="10" t="s">
        <v>26</v>
      </c>
      <c r="N147" s="10">
        <v>1201.33</v>
      </c>
      <c r="O147" s="27" t="s">
        <v>27</v>
      </c>
      <c r="P147" s="12" t="s">
        <v>27</v>
      </c>
      <c r="Q147" s="55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20</v>
      </c>
      <c r="M148" s="15" t="s">
        <v>21</v>
      </c>
      <c r="N148" s="15">
        <v>609.51</v>
      </c>
      <c r="O148" s="27" t="s">
        <v>27</v>
      </c>
      <c r="P148" s="17" t="s">
        <v>48</v>
      </c>
      <c r="Q148" s="55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15</v>
      </c>
      <c r="M149" s="10" t="s">
        <v>26</v>
      </c>
      <c r="N149" s="10">
        <v>248.9</v>
      </c>
      <c r="O149" s="27" t="s">
        <v>17</v>
      </c>
      <c r="P149" s="12" t="s">
        <v>17</v>
      </c>
      <c r="Q149" s="55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32</v>
      </c>
      <c r="M150" s="15" t="s">
        <v>26</v>
      </c>
      <c r="N150" s="15">
        <v>394.17</v>
      </c>
      <c r="O150" s="27" t="s">
        <v>41</v>
      </c>
      <c r="P150" s="17" t="s">
        <v>44</v>
      </c>
      <c r="Q150" s="55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8" t="s">
        <v>193</v>
      </c>
      <c r="B151" s="9" t="s">
        <v>576</v>
      </c>
      <c r="C151" s="9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20</v>
      </c>
      <c r="M151" s="10" t="s">
        <v>21</v>
      </c>
      <c r="N151" s="10">
        <v>1205.9000000000001</v>
      </c>
      <c r="O151" s="27" t="s">
        <v>27</v>
      </c>
      <c r="P151" s="12" t="s">
        <v>27</v>
      </c>
      <c r="Q151" s="55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20</v>
      </c>
      <c r="M152" s="15" t="s">
        <v>21</v>
      </c>
      <c r="N152" s="15">
        <v>408.16</v>
      </c>
      <c r="O152" s="27" t="s">
        <v>17</v>
      </c>
      <c r="P152" s="17" t="s">
        <v>95</v>
      </c>
      <c r="Q152" s="55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15</v>
      </c>
      <c r="M153" s="10" t="s">
        <v>21</v>
      </c>
      <c r="N153" s="10">
        <v>617.32000000000005</v>
      </c>
      <c r="O153" s="27" t="s">
        <v>41</v>
      </c>
      <c r="P153" s="12" t="s">
        <v>68</v>
      </c>
      <c r="Q153" s="55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20</v>
      </c>
      <c r="M154" s="15" t="s">
        <v>16</v>
      </c>
      <c r="N154" s="15">
        <v>253.65</v>
      </c>
      <c r="O154" s="27" t="s">
        <v>41</v>
      </c>
      <c r="P154" s="17" t="s">
        <v>44</v>
      </c>
      <c r="Q154" s="55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8" t="s">
        <v>197</v>
      </c>
      <c r="B155" s="9" t="s">
        <v>576</v>
      </c>
      <c r="C155" s="9" t="s">
        <v>576</v>
      </c>
      <c r="D155" s="10" t="s">
        <v>14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20</v>
      </c>
      <c r="M155" s="10" t="s">
        <v>16</v>
      </c>
      <c r="N155" s="10">
        <v>742.76</v>
      </c>
      <c r="O155" s="27" t="s">
        <v>17</v>
      </c>
      <c r="P155" s="12" t="s">
        <v>52</v>
      </c>
      <c r="Q155" s="55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20</v>
      </c>
      <c r="M156" s="15" t="s">
        <v>16</v>
      </c>
      <c r="N156" s="15">
        <v>182.68</v>
      </c>
      <c r="O156" s="27" t="s">
        <v>17</v>
      </c>
      <c r="P156" s="17" t="s">
        <v>95</v>
      </c>
      <c r="Q156" s="55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15</v>
      </c>
      <c r="M157" s="10" t="s">
        <v>26</v>
      </c>
      <c r="N157" s="10">
        <v>735.37</v>
      </c>
      <c r="O157" s="27" t="s">
        <v>79</v>
      </c>
      <c r="P157" s="12" t="s">
        <v>22</v>
      </c>
      <c r="Q157" s="55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15</v>
      </c>
      <c r="M158" s="15" t="s">
        <v>16</v>
      </c>
      <c r="N158" s="15">
        <v>813.65</v>
      </c>
      <c r="O158" s="27" t="s">
        <v>41</v>
      </c>
      <c r="P158" s="17" t="s">
        <v>44</v>
      </c>
      <c r="Q158" s="55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8" t="s">
        <v>201</v>
      </c>
      <c r="B159" s="9" t="s">
        <v>576</v>
      </c>
      <c r="C159" s="9" t="s">
        <v>576</v>
      </c>
      <c r="D159" s="10" t="s">
        <v>14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20</v>
      </c>
      <c r="M159" s="10" t="s">
        <v>26</v>
      </c>
      <c r="N159" s="10">
        <v>597.1</v>
      </c>
      <c r="O159" s="27" t="s">
        <v>79</v>
      </c>
      <c r="P159" s="12" t="s">
        <v>55</v>
      </c>
      <c r="Q159" s="55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15</v>
      </c>
      <c r="M160" s="15" t="s">
        <v>16</v>
      </c>
      <c r="N160" s="15">
        <v>43.53</v>
      </c>
      <c r="O160" s="27" t="s">
        <v>79</v>
      </c>
      <c r="P160" s="17" t="s">
        <v>55</v>
      </c>
      <c r="Q160" s="55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20</v>
      </c>
      <c r="M161" s="10" t="s">
        <v>26</v>
      </c>
      <c r="N161" s="10">
        <v>508.56</v>
      </c>
      <c r="O161" s="27" t="s">
        <v>27</v>
      </c>
      <c r="P161" s="12" t="s">
        <v>48</v>
      </c>
      <c r="Q161" s="55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32</v>
      </c>
      <c r="M162" s="15" t="s">
        <v>26</v>
      </c>
      <c r="N162" s="15">
        <v>166.4</v>
      </c>
      <c r="O162" s="27" t="s">
        <v>35</v>
      </c>
      <c r="P162" s="17" t="s">
        <v>35</v>
      </c>
      <c r="Q162" s="55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8" t="s">
        <v>205</v>
      </c>
      <c r="B163" s="9" t="s">
        <v>576</v>
      </c>
      <c r="C163" s="9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32</v>
      </c>
      <c r="M163" s="10" t="s">
        <v>21</v>
      </c>
      <c r="N163" s="10">
        <v>292.08</v>
      </c>
      <c r="O163" s="27" t="s">
        <v>35</v>
      </c>
      <c r="P163" s="12" t="s">
        <v>58</v>
      </c>
      <c r="Q163" s="55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20</v>
      </c>
      <c r="M164" s="15" t="s">
        <v>16</v>
      </c>
      <c r="N164" s="15">
        <v>579.12</v>
      </c>
      <c r="O164" s="27" t="s">
        <v>41</v>
      </c>
      <c r="P164" s="17" t="s">
        <v>41</v>
      </c>
      <c r="Q164" s="55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32</v>
      </c>
      <c r="M165" s="10" t="s">
        <v>21</v>
      </c>
      <c r="N165" s="10">
        <v>230.99</v>
      </c>
      <c r="O165" s="27" t="s">
        <v>35</v>
      </c>
      <c r="P165" s="12" t="s">
        <v>35</v>
      </c>
      <c r="Q165" s="55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32</v>
      </c>
      <c r="M166" s="15" t="s">
        <v>26</v>
      </c>
      <c r="N166" s="15">
        <v>330.45</v>
      </c>
      <c r="O166" s="27" t="s">
        <v>100</v>
      </c>
      <c r="P166" s="17" t="s">
        <v>63</v>
      </c>
      <c r="Q166" s="55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8" t="s">
        <v>209</v>
      </c>
      <c r="B167" s="9" t="s">
        <v>576</v>
      </c>
      <c r="C167" s="9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32</v>
      </c>
      <c r="M167" s="10" t="s">
        <v>26</v>
      </c>
      <c r="N167" s="10">
        <v>440.26</v>
      </c>
      <c r="O167" s="27" t="s">
        <v>41</v>
      </c>
      <c r="P167" s="12" t="s">
        <v>41</v>
      </c>
      <c r="Q167" s="55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20</v>
      </c>
      <c r="M168" s="15" t="s">
        <v>16</v>
      </c>
      <c r="N168" s="15">
        <v>332.86</v>
      </c>
      <c r="O168" s="27" t="s">
        <v>79</v>
      </c>
      <c r="P168" s="17" t="s">
        <v>55</v>
      </c>
      <c r="Q168" s="55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15</v>
      </c>
      <c r="M169" s="10" t="s">
        <v>26</v>
      </c>
      <c r="N169" s="10">
        <v>418.96</v>
      </c>
      <c r="O169" s="27" t="s">
        <v>41</v>
      </c>
      <c r="P169" s="12" t="s">
        <v>41</v>
      </c>
      <c r="Q169" s="55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20</v>
      </c>
      <c r="M170" s="15" t="s">
        <v>16</v>
      </c>
      <c r="N170" s="15">
        <v>458.18</v>
      </c>
      <c r="O170" s="27" t="s">
        <v>79</v>
      </c>
      <c r="P170" s="17" t="s">
        <v>55</v>
      </c>
      <c r="Q170" s="55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8" t="s">
        <v>213</v>
      </c>
      <c r="B171" s="9" t="s">
        <v>576</v>
      </c>
      <c r="C171" s="9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20</v>
      </c>
      <c r="M171" s="10" t="s">
        <v>16</v>
      </c>
      <c r="N171" s="10">
        <v>522.95000000000005</v>
      </c>
      <c r="O171" s="27" t="s">
        <v>79</v>
      </c>
      <c r="P171" s="12" t="s">
        <v>22</v>
      </c>
      <c r="Q171" s="55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15</v>
      </c>
      <c r="M172" s="15" t="s">
        <v>16</v>
      </c>
      <c r="N172" s="15">
        <v>930.19</v>
      </c>
      <c r="O172" s="27" t="s">
        <v>41</v>
      </c>
      <c r="P172" s="17" t="s">
        <v>44</v>
      </c>
      <c r="Q172" s="55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20</v>
      </c>
      <c r="M173" s="10" t="s">
        <v>21</v>
      </c>
      <c r="N173" s="10">
        <v>250.2</v>
      </c>
      <c r="O173" s="27" t="s">
        <v>27</v>
      </c>
      <c r="P173" s="12" t="s">
        <v>39</v>
      </c>
      <c r="Q173" s="55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20</v>
      </c>
      <c r="M174" s="15" t="s">
        <v>16</v>
      </c>
      <c r="N174" s="15">
        <v>729.42</v>
      </c>
      <c r="O174" s="27" t="s">
        <v>17</v>
      </c>
      <c r="P174" s="17" t="s">
        <v>17</v>
      </c>
      <c r="Q174" s="55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8" t="s">
        <v>217</v>
      </c>
      <c r="B175" s="9" t="s">
        <v>576</v>
      </c>
      <c r="C175" s="9" t="s">
        <v>576</v>
      </c>
      <c r="D175" s="10" t="s">
        <v>14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20</v>
      </c>
      <c r="M175" s="10" t="s">
        <v>16</v>
      </c>
      <c r="N175" s="10">
        <v>253.73</v>
      </c>
      <c r="O175" s="27" t="s">
        <v>35</v>
      </c>
      <c r="P175" s="12" t="s">
        <v>35</v>
      </c>
      <c r="Q175" s="55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32</v>
      </c>
      <c r="M176" s="15" t="s">
        <v>16</v>
      </c>
      <c r="N176" s="15">
        <v>941.87</v>
      </c>
      <c r="O176" s="27" t="s">
        <v>100</v>
      </c>
      <c r="P176" s="17" t="s">
        <v>63</v>
      </c>
      <c r="Q176" s="55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20</v>
      </c>
      <c r="M177" s="10" t="s">
        <v>16</v>
      </c>
      <c r="N177" s="10">
        <v>671.84</v>
      </c>
      <c r="O177" s="27" t="s">
        <v>35</v>
      </c>
      <c r="P177" s="12" t="s">
        <v>58</v>
      </c>
      <c r="Q177" s="55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20</v>
      </c>
      <c r="M178" s="15" t="s">
        <v>16</v>
      </c>
      <c r="N178" s="15">
        <v>814</v>
      </c>
      <c r="O178" s="27" t="s">
        <v>41</v>
      </c>
      <c r="P178" s="17" t="s">
        <v>41</v>
      </c>
      <c r="Q178" s="55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8" t="s">
        <v>221</v>
      </c>
      <c r="B179" s="9" t="s">
        <v>576</v>
      </c>
      <c r="C179" s="9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15</v>
      </c>
      <c r="M179" s="10" t="s">
        <v>21</v>
      </c>
      <c r="N179" s="10">
        <v>66.459999999999994</v>
      </c>
      <c r="O179" s="27" t="s">
        <v>27</v>
      </c>
      <c r="P179" s="12" t="s">
        <v>39</v>
      </c>
      <c r="Q179" s="55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32</v>
      </c>
      <c r="M180" s="15" t="s">
        <v>16</v>
      </c>
      <c r="N180" s="15">
        <v>479.33</v>
      </c>
      <c r="O180" s="27" t="s">
        <v>27</v>
      </c>
      <c r="P180" s="17" t="s">
        <v>27</v>
      </c>
      <c r="Q180" s="55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32</v>
      </c>
      <c r="M181" s="10" t="s">
        <v>26</v>
      </c>
      <c r="N181" s="10">
        <v>336.28</v>
      </c>
      <c r="O181" s="27" t="s">
        <v>17</v>
      </c>
      <c r="P181" s="12" t="s">
        <v>95</v>
      </c>
      <c r="Q181" s="55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20</v>
      </c>
      <c r="M182" s="15" t="s">
        <v>26</v>
      </c>
      <c r="N182" s="15">
        <v>523.61</v>
      </c>
      <c r="O182" s="27" t="s">
        <v>100</v>
      </c>
      <c r="P182" s="17" t="s">
        <v>65</v>
      </c>
      <c r="Q182" s="55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8" t="s">
        <v>225</v>
      </c>
      <c r="B183" s="9" t="s">
        <v>576</v>
      </c>
      <c r="C183" s="9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32</v>
      </c>
      <c r="M183" s="10" t="s">
        <v>16</v>
      </c>
      <c r="N183" s="10">
        <v>235.73</v>
      </c>
      <c r="O183" s="27" t="s">
        <v>41</v>
      </c>
      <c r="P183" s="12" t="s">
        <v>44</v>
      </c>
      <c r="Q183" s="55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32</v>
      </c>
      <c r="M184" s="15" t="s">
        <v>16</v>
      </c>
      <c r="N184" s="15">
        <v>350.59</v>
      </c>
      <c r="O184" s="27" t="s">
        <v>17</v>
      </c>
      <c r="P184" s="17" t="s">
        <v>52</v>
      </c>
      <c r="Q184" s="55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15</v>
      </c>
      <c r="M185" s="10" t="s">
        <v>16</v>
      </c>
      <c r="N185" s="10">
        <v>255.64</v>
      </c>
      <c r="O185" s="27" t="s">
        <v>100</v>
      </c>
      <c r="P185" s="12" t="s">
        <v>65</v>
      </c>
      <c r="Q185" s="55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15</v>
      </c>
      <c r="M186" s="15" t="s">
        <v>16</v>
      </c>
      <c r="N186" s="15">
        <v>227.77</v>
      </c>
      <c r="O186" s="27" t="s">
        <v>35</v>
      </c>
      <c r="P186" s="17" t="s">
        <v>58</v>
      </c>
      <c r="Q186" s="55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8" t="s">
        <v>229</v>
      </c>
      <c r="B187" s="9" t="s">
        <v>576</v>
      </c>
      <c r="C187" s="9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32</v>
      </c>
      <c r="M187" s="10" t="s">
        <v>16</v>
      </c>
      <c r="N187" s="10">
        <v>393.92</v>
      </c>
      <c r="O187" s="27" t="s">
        <v>27</v>
      </c>
      <c r="P187" s="12" t="s">
        <v>48</v>
      </c>
      <c r="Q187" s="55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15</v>
      </c>
      <c r="M188" s="15" t="s">
        <v>26</v>
      </c>
      <c r="N188" s="15">
        <v>112.67</v>
      </c>
      <c r="O188" s="27" t="s">
        <v>100</v>
      </c>
      <c r="P188" s="17" t="s">
        <v>63</v>
      </c>
      <c r="Q188" s="55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20</v>
      </c>
      <c r="M189" s="10" t="s">
        <v>16</v>
      </c>
      <c r="N189" s="10">
        <v>27.01</v>
      </c>
      <c r="O189" s="27" t="s">
        <v>100</v>
      </c>
      <c r="P189" s="12" t="s">
        <v>65</v>
      </c>
      <c r="Q189" s="55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15</v>
      </c>
      <c r="M190" s="15" t="s">
        <v>16</v>
      </c>
      <c r="N190" s="15">
        <v>838.45</v>
      </c>
      <c r="O190" s="27" t="s">
        <v>27</v>
      </c>
      <c r="P190" s="17" t="s">
        <v>27</v>
      </c>
      <c r="Q190" s="55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8" t="s">
        <v>233</v>
      </c>
      <c r="B191" s="9" t="s">
        <v>576</v>
      </c>
      <c r="C191" s="9" t="s">
        <v>576</v>
      </c>
      <c r="D191" s="10" t="s">
        <v>14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20</v>
      </c>
      <c r="M191" s="10" t="s">
        <v>16</v>
      </c>
      <c r="N191" s="10">
        <v>101.89</v>
      </c>
      <c r="O191" s="27" t="s">
        <v>35</v>
      </c>
      <c r="P191" s="12" t="s">
        <v>58</v>
      </c>
      <c r="Q191" s="55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15</v>
      </c>
      <c r="M192" s="15" t="s">
        <v>26</v>
      </c>
      <c r="N192" s="15">
        <v>639.71</v>
      </c>
      <c r="O192" s="27" t="s">
        <v>100</v>
      </c>
      <c r="P192" s="17" t="s">
        <v>65</v>
      </c>
      <c r="Q192" s="55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32</v>
      </c>
      <c r="M193" s="10" t="s">
        <v>26</v>
      </c>
      <c r="N193" s="10">
        <v>549.92999999999995</v>
      </c>
      <c r="O193" s="27" t="s">
        <v>27</v>
      </c>
      <c r="P193" s="12" t="s">
        <v>27</v>
      </c>
      <c r="Q193" s="55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20</v>
      </c>
      <c r="M194" s="15" t="s">
        <v>16</v>
      </c>
      <c r="N194" s="15">
        <v>467.32</v>
      </c>
      <c r="O194" s="27" t="s">
        <v>41</v>
      </c>
      <c r="P194" s="17" t="s">
        <v>68</v>
      </c>
      <c r="Q194" s="55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8" t="s">
        <v>237</v>
      </c>
      <c r="B195" s="9" t="s">
        <v>576</v>
      </c>
      <c r="C195" s="9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15</v>
      </c>
      <c r="M195" s="10" t="s">
        <v>26</v>
      </c>
      <c r="N195" s="10">
        <v>170.18</v>
      </c>
      <c r="O195" s="27" t="s">
        <v>17</v>
      </c>
      <c r="P195" s="12" t="s">
        <v>17</v>
      </c>
      <c r="Q195" s="55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15</v>
      </c>
      <c r="M196" s="15" t="s">
        <v>16</v>
      </c>
      <c r="N196" s="15">
        <v>664.13</v>
      </c>
      <c r="O196" s="27" t="s">
        <v>100</v>
      </c>
      <c r="P196" s="17" t="s">
        <v>65</v>
      </c>
      <c r="Q196" s="55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20</v>
      </c>
      <c r="M197" s="10" t="s">
        <v>26</v>
      </c>
      <c r="N197" s="10">
        <v>242.2</v>
      </c>
      <c r="O197" s="27" t="s">
        <v>27</v>
      </c>
      <c r="P197" s="12" t="s">
        <v>39</v>
      </c>
      <c r="Q197" s="55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15</v>
      </c>
      <c r="M198" s="15" t="s">
        <v>16</v>
      </c>
      <c r="N198" s="15">
        <v>508.95</v>
      </c>
      <c r="O198" s="27" t="s">
        <v>17</v>
      </c>
      <c r="P198" s="17" t="s">
        <v>52</v>
      </c>
      <c r="Q198" s="55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8" t="s">
        <v>241</v>
      </c>
      <c r="B199" s="9" t="s">
        <v>576</v>
      </c>
      <c r="C199" s="9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32</v>
      </c>
      <c r="M199" s="10" t="s">
        <v>21</v>
      </c>
      <c r="N199" s="10">
        <v>350.09</v>
      </c>
      <c r="O199" s="27" t="s">
        <v>79</v>
      </c>
      <c r="P199" s="12" t="s">
        <v>79</v>
      </c>
      <c r="Q199" s="55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20</v>
      </c>
      <c r="M200" s="15" t="s">
        <v>26</v>
      </c>
      <c r="N200" s="15">
        <v>451.8</v>
      </c>
      <c r="O200" s="27" t="s">
        <v>35</v>
      </c>
      <c r="P200" s="17" t="s">
        <v>30</v>
      </c>
      <c r="Q200" s="55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32</v>
      </c>
      <c r="M201" s="10" t="s">
        <v>21</v>
      </c>
      <c r="N201" s="10">
        <v>1195.98</v>
      </c>
      <c r="O201" s="27" t="s">
        <v>41</v>
      </c>
      <c r="P201" s="12" t="s">
        <v>41</v>
      </c>
      <c r="Q201" s="55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20</v>
      </c>
      <c r="M202" s="15" t="s">
        <v>26</v>
      </c>
      <c r="N202" s="15">
        <v>235.46</v>
      </c>
      <c r="O202" s="27" t="s">
        <v>41</v>
      </c>
      <c r="P202" s="17" t="s">
        <v>68</v>
      </c>
      <c r="Q202" s="55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8" t="s">
        <v>245</v>
      </c>
      <c r="B203" s="9" t="s">
        <v>576</v>
      </c>
      <c r="C203" s="9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20</v>
      </c>
      <c r="M203" s="10" t="s">
        <v>21</v>
      </c>
      <c r="N203" s="10">
        <v>432.87</v>
      </c>
      <c r="O203" s="27" t="s">
        <v>100</v>
      </c>
      <c r="P203" s="12" t="s">
        <v>100</v>
      </c>
      <c r="Q203" s="55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20</v>
      </c>
      <c r="M204" s="15" t="s">
        <v>26</v>
      </c>
      <c r="N204" s="15">
        <v>1028.18</v>
      </c>
      <c r="O204" s="27" t="s">
        <v>79</v>
      </c>
      <c r="P204" s="17" t="s">
        <v>22</v>
      </c>
      <c r="Q204" s="55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20</v>
      </c>
      <c r="M205" s="10" t="s">
        <v>26</v>
      </c>
      <c r="N205" s="10">
        <v>721</v>
      </c>
      <c r="O205" s="27" t="s">
        <v>17</v>
      </c>
      <c r="P205" s="12" t="s">
        <v>52</v>
      </c>
      <c r="Q205" s="55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32</v>
      </c>
      <c r="M206" s="15" t="s">
        <v>16</v>
      </c>
      <c r="N206" s="15">
        <v>788.19</v>
      </c>
      <c r="O206" s="27" t="s">
        <v>100</v>
      </c>
      <c r="P206" s="17" t="s">
        <v>65</v>
      </c>
      <c r="Q206" s="55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8" t="s">
        <v>249</v>
      </c>
      <c r="B207" s="9" t="s">
        <v>576</v>
      </c>
      <c r="C207" s="9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32</v>
      </c>
      <c r="M207" s="10" t="s">
        <v>26</v>
      </c>
      <c r="N207" s="10">
        <v>1095.22</v>
      </c>
      <c r="O207" s="27" t="s">
        <v>100</v>
      </c>
      <c r="P207" s="12" t="s">
        <v>63</v>
      </c>
      <c r="Q207" s="55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20</v>
      </c>
      <c r="M208" s="15" t="s">
        <v>26</v>
      </c>
      <c r="N208" s="15">
        <v>121.08</v>
      </c>
      <c r="O208" s="27" t="s">
        <v>41</v>
      </c>
      <c r="P208" s="17" t="s">
        <v>68</v>
      </c>
      <c r="Q208" s="55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20</v>
      </c>
      <c r="M209" s="10" t="s">
        <v>21</v>
      </c>
      <c r="N209" s="10">
        <v>47.74</v>
      </c>
      <c r="O209" s="27" t="s">
        <v>27</v>
      </c>
      <c r="P209" s="12" t="s">
        <v>48</v>
      </c>
      <c r="Q209" s="55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32</v>
      </c>
      <c r="M210" s="15" t="s">
        <v>21</v>
      </c>
      <c r="N210" s="15">
        <v>70.55</v>
      </c>
      <c r="O210" s="27" t="s">
        <v>27</v>
      </c>
      <c r="P210" s="17" t="s">
        <v>39</v>
      </c>
      <c r="Q210" s="55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8" t="s">
        <v>253</v>
      </c>
      <c r="B211" s="9" t="s">
        <v>576</v>
      </c>
      <c r="C211" s="9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20</v>
      </c>
      <c r="M211" s="10" t="s">
        <v>21</v>
      </c>
      <c r="N211" s="10">
        <v>970.91</v>
      </c>
      <c r="O211" s="27" t="s">
        <v>17</v>
      </c>
      <c r="P211" s="12" t="s">
        <v>17</v>
      </c>
      <c r="Q211" s="55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20</v>
      </c>
      <c r="M212" s="15" t="s">
        <v>21</v>
      </c>
      <c r="N212" s="15">
        <v>478.55</v>
      </c>
      <c r="O212" s="27" t="s">
        <v>100</v>
      </c>
      <c r="P212" s="17" t="s">
        <v>65</v>
      </c>
      <c r="Q212" s="55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32</v>
      </c>
      <c r="M213" s="10" t="s">
        <v>16</v>
      </c>
      <c r="N213" s="10">
        <v>133.02000000000001</v>
      </c>
      <c r="O213" s="27" t="s">
        <v>100</v>
      </c>
      <c r="P213" s="12" t="s">
        <v>100</v>
      </c>
      <c r="Q213" s="55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32</v>
      </c>
      <c r="M214" s="15" t="s">
        <v>21</v>
      </c>
      <c r="N214" s="15">
        <v>161.16</v>
      </c>
      <c r="O214" s="27" t="s">
        <v>100</v>
      </c>
      <c r="P214" s="17" t="s">
        <v>63</v>
      </c>
      <c r="Q214" s="55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8" t="s">
        <v>257</v>
      </c>
      <c r="B215" s="9" t="s">
        <v>576</v>
      </c>
      <c r="C215" s="9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32</v>
      </c>
      <c r="M215" s="10" t="s">
        <v>16</v>
      </c>
      <c r="N215" s="10">
        <v>774.75</v>
      </c>
      <c r="O215" s="27" t="s">
        <v>41</v>
      </c>
      <c r="P215" s="12" t="s">
        <v>44</v>
      </c>
      <c r="Q215" s="55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15</v>
      </c>
      <c r="M216" s="15" t="s">
        <v>16</v>
      </c>
      <c r="N216" s="15">
        <v>77.209999999999994</v>
      </c>
      <c r="O216" s="27" t="s">
        <v>27</v>
      </c>
      <c r="P216" s="17" t="s">
        <v>48</v>
      </c>
      <c r="Q216" s="55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20</v>
      </c>
      <c r="M217" s="10" t="s">
        <v>21</v>
      </c>
      <c r="N217" s="10">
        <v>21.73</v>
      </c>
      <c r="O217" s="27" t="s">
        <v>79</v>
      </c>
      <c r="P217" s="12" t="s">
        <v>22</v>
      </c>
      <c r="Q217" s="55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32</v>
      </c>
      <c r="M218" s="15" t="s">
        <v>21</v>
      </c>
      <c r="N218" s="15">
        <v>509.07</v>
      </c>
      <c r="O218" s="27" t="s">
        <v>79</v>
      </c>
      <c r="P218" s="17" t="s">
        <v>55</v>
      </c>
      <c r="Q218" s="55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8" t="s">
        <v>261</v>
      </c>
      <c r="B219" s="9" t="s">
        <v>576</v>
      </c>
      <c r="C219" s="9" t="s">
        <v>576</v>
      </c>
      <c r="D219" s="10" t="s">
        <v>14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20</v>
      </c>
      <c r="M219" s="10" t="s">
        <v>21</v>
      </c>
      <c r="N219" s="10">
        <v>369.28</v>
      </c>
      <c r="O219" s="27" t="s">
        <v>27</v>
      </c>
      <c r="P219" s="12" t="s">
        <v>39</v>
      </c>
      <c r="Q219" s="55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15</v>
      </c>
      <c r="M220" s="15" t="s">
        <v>26</v>
      </c>
      <c r="N220" s="15">
        <v>110.39</v>
      </c>
      <c r="O220" s="27" t="s">
        <v>35</v>
      </c>
      <c r="P220" s="17" t="s">
        <v>58</v>
      </c>
      <c r="Q220" s="55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32</v>
      </c>
      <c r="M221" s="10" t="s">
        <v>21</v>
      </c>
      <c r="N221" s="10">
        <v>700.49</v>
      </c>
      <c r="O221" s="27" t="s">
        <v>41</v>
      </c>
      <c r="P221" s="12" t="s">
        <v>44</v>
      </c>
      <c r="Q221" s="55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32</v>
      </c>
      <c r="M222" s="15" t="s">
        <v>21</v>
      </c>
      <c r="N222" s="15">
        <v>909.46</v>
      </c>
      <c r="O222" s="27" t="s">
        <v>41</v>
      </c>
      <c r="P222" s="17" t="s">
        <v>68</v>
      </c>
      <c r="Q222" s="55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8" t="s">
        <v>265</v>
      </c>
      <c r="B223" s="9" t="s">
        <v>576</v>
      </c>
      <c r="C223" s="9" t="s">
        <v>576</v>
      </c>
      <c r="D223" s="10" t="s">
        <v>14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20</v>
      </c>
      <c r="M223" s="10" t="s">
        <v>16</v>
      </c>
      <c r="N223" s="10">
        <v>930.63</v>
      </c>
      <c r="O223" s="27" t="s">
        <v>35</v>
      </c>
      <c r="P223" s="12" t="s">
        <v>30</v>
      </c>
      <c r="Q223" s="55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20</v>
      </c>
      <c r="M224" s="15" t="s">
        <v>21</v>
      </c>
      <c r="N224" s="15">
        <v>270.37</v>
      </c>
      <c r="O224" s="27" t="s">
        <v>79</v>
      </c>
      <c r="P224" s="17" t="s">
        <v>55</v>
      </c>
      <c r="Q224" s="55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32</v>
      </c>
      <c r="M225" s="10" t="s">
        <v>26</v>
      </c>
      <c r="N225" s="10">
        <v>740.19</v>
      </c>
      <c r="O225" s="27" t="s">
        <v>79</v>
      </c>
      <c r="P225" s="12" t="s">
        <v>22</v>
      </c>
      <c r="Q225" s="55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32</v>
      </c>
      <c r="M226" s="15" t="s">
        <v>21</v>
      </c>
      <c r="N226" s="15">
        <v>385.44</v>
      </c>
      <c r="O226" s="27" t="s">
        <v>41</v>
      </c>
      <c r="P226" s="17" t="s">
        <v>41</v>
      </c>
      <c r="Q226" s="55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8" t="s">
        <v>269</v>
      </c>
      <c r="B227" s="9" t="s">
        <v>576</v>
      </c>
      <c r="C227" s="9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20</v>
      </c>
      <c r="M227" s="10" t="s">
        <v>21</v>
      </c>
      <c r="N227" s="10">
        <v>150.44999999999999</v>
      </c>
      <c r="O227" s="27" t="s">
        <v>35</v>
      </c>
      <c r="P227" s="12" t="s">
        <v>30</v>
      </c>
      <c r="Q227" s="55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20</v>
      </c>
      <c r="M228" s="15" t="s">
        <v>16</v>
      </c>
      <c r="N228" s="15">
        <v>706.04</v>
      </c>
      <c r="O228" s="27" t="s">
        <v>41</v>
      </c>
      <c r="P228" s="17" t="s">
        <v>41</v>
      </c>
      <c r="Q228" s="55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32</v>
      </c>
      <c r="M229" s="10" t="s">
        <v>26</v>
      </c>
      <c r="N229" s="10">
        <v>394.98</v>
      </c>
      <c r="O229" s="27" t="s">
        <v>17</v>
      </c>
      <c r="P229" s="12" t="s">
        <v>95</v>
      </c>
      <c r="Q229" s="55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15</v>
      </c>
      <c r="M230" s="15" t="s">
        <v>26</v>
      </c>
      <c r="N230" s="15">
        <v>385.71</v>
      </c>
      <c r="O230" s="27" t="s">
        <v>100</v>
      </c>
      <c r="P230" s="17" t="s">
        <v>63</v>
      </c>
      <c r="Q230" s="55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8" t="s">
        <v>273</v>
      </c>
      <c r="B231" s="9" t="s">
        <v>576</v>
      </c>
      <c r="C231" s="9" t="s">
        <v>576</v>
      </c>
      <c r="D231" s="10" t="s">
        <v>14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20</v>
      </c>
      <c r="M231" s="10" t="s">
        <v>21</v>
      </c>
      <c r="N231" s="10">
        <v>244.12</v>
      </c>
      <c r="O231" s="27" t="s">
        <v>27</v>
      </c>
      <c r="P231" s="12" t="s">
        <v>48</v>
      </c>
      <c r="Q231" s="55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20</v>
      </c>
      <c r="M232" s="15" t="s">
        <v>26</v>
      </c>
      <c r="N232" s="15">
        <v>682.33</v>
      </c>
      <c r="O232" s="27" t="s">
        <v>17</v>
      </c>
      <c r="P232" s="17" t="s">
        <v>95</v>
      </c>
      <c r="Q232" s="55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20</v>
      </c>
      <c r="M233" s="10" t="s">
        <v>21</v>
      </c>
      <c r="N233" s="10">
        <v>1055.96</v>
      </c>
      <c r="O233" s="27" t="s">
        <v>100</v>
      </c>
      <c r="P233" s="12" t="s">
        <v>100</v>
      </c>
      <c r="Q233" s="55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32</v>
      </c>
      <c r="M234" s="15" t="s">
        <v>16</v>
      </c>
      <c r="N234" s="15">
        <v>219.01</v>
      </c>
      <c r="O234" s="27" t="s">
        <v>27</v>
      </c>
      <c r="P234" s="17" t="s">
        <v>39</v>
      </c>
      <c r="Q234" s="55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8" t="s">
        <v>277</v>
      </c>
      <c r="B235" s="9" t="s">
        <v>576</v>
      </c>
      <c r="C235" s="9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32</v>
      </c>
      <c r="M235" s="10" t="s">
        <v>26</v>
      </c>
      <c r="N235" s="10">
        <v>144.54</v>
      </c>
      <c r="O235" s="27" t="s">
        <v>17</v>
      </c>
      <c r="P235" s="12" t="s">
        <v>95</v>
      </c>
      <c r="Q235" s="55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32</v>
      </c>
      <c r="M236" s="15" t="s">
        <v>21</v>
      </c>
      <c r="N236" s="15">
        <v>692.61</v>
      </c>
      <c r="O236" s="27" t="s">
        <v>35</v>
      </c>
      <c r="P236" s="17" t="s">
        <v>58</v>
      </c>
      <c r="Q236" s="55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20</v>
      </c>
      <c r="M237" s="10" t="s">
        <v>16</v>
      </c>
      <c r="N237" s="10">
        <v>122.23</v>
      </c>
      <c r="O237" s="27" t="s">
        <v>79</v>
      </c>
      <c r="P237" s="12" t="s">
        <v>79</v>
      </c>
      <c r="Q237" s="55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20</v>
      </c>
      <c r="M238" s="15" t="s">
        <v>16</v>
      </c>
      <c r="N238" s="15">
        <v>99.39</v>
      </c>
      <c r="O238" s="27" t="s">
        <v>17</v>
      </c>
      <c r="P238" s="17" t="s">
        <v>17</v>
      </c>
      <c r="Q238" s="55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8" t="s">
        <v>281</v>
      </c>
      <c r="B239" s="9" t="s">
        <v>576</v>
      </c>
      <c r="C239" s="9" t="s">
        <v>576</v>
      </c>
      <c r="D239" s="10" t="s">
        <v>14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15</v>
      </c>
      <c r="M239" s="10" t="s">
        <v>21</v>
      </c>
      <c r="N239" s="10">
        <v>600.08000000000004</v>
      </c>
      <c r="O239" s="27" t="s">
        <v>35</v>
      </c>
      <c r="P239" s="12" t="s">
        <v>58</v>
      </c>
      <c r="Q239" s="55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32</v>
      </c>
      <c r="M240" s="15" t="s">
        <v>16</v>
      </c>
      <c r="N240" s="15">
        <v>427.47</v>
      </c>
      <c r="O240" s="27" t="s">
        <v>100</v>
      </c>
      <c r="P240" s="17" t="s">
        <v>65</v>
      </c>
      <c r="Q240" s="55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32</v>
      </c>
      <c r="M241" s="10" t="s">
        <v>16</v>
      </c>
      <c r="N241" s="10">
        <v>83.32</v>
      </c>
      <c r="O241" s="27" t="s">
        <v>100</v>
      </c>
      <c r="P241" s="12" t="s">
        <v>65</v>
      </c>
      <c r="Q241" s="55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20</v>
      </c>
      <c r="M242" s="15" t="s">
        <v>21</v>
      </c>
      <c r="N242" s="15">
        <v>358.48</v>
      </c>
      <c r="O242" s="27" t="s">
        <v>79</v>
      </c>
      <c r="P242" s="17" t="s">
        <v>55</v>
      </c>
      <c r="Q242" s="55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8" t="s">
        <v>285</v>
      </c>
      <c r="B243" s="9" t="s">
        <v>576</v>
      </c>
      <c r="C243" s="9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20</v>
      </c>
      <c r="M243" s="10" t="s">
        <v>26</v>
      </c>
      <c r="N243" s="10">
        <v>209.28</v>
      </c>
      <c r="O243" s="27" t="s">
        <v>27</v>
      </c>
      <c r="P243" s="12" t="s">
        <v>39</v>
      </c>
      <c r="Q243" s="55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15</v>
      </c>
      <c r="M244" s="15" t="s">
        <v>26</v>
      </c>
      <c r="N244" s="15">
        <v>1090.8399999999999</v>
      </c>
      <c r="O244" s="27" t="s">
        <v>27</v>
      </c>
      <c r="P244" s="17" t="s">
        <v>48</v>
      </c>
      <c r="Q244" s="55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20</v>
      </c>
      <c r="M245" s="10" t="s">
        <v>16</v>
      </c>
      <c r="N245" s="10">
        <v>124.78</v>
      </c>
      <c r="O245" s="27" t="s">
        <v>79</v>
      </c>
      <c r="P245" s="12" t="s">
        <v>22</v>
      </c>
      <c r="Q245" s="55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20</v>
      </c>
      <c r="M246" s="15" t="s">
        <v>21</v>
      </c>
      <c r="N246" s="15">
        <v>627.83000000000004</v>
      </c>
      <c r="O246" s="27" t="s">
        <v>35</v>
      </c>
      <c r="P246" s="17" t="s">
        <v>30</v>
      </c>
      <c r="Q246" s="55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8" t="s">
        <v>289</v>
      </c>
      <c r="B247" s="9" t="s">
        <v>576</v>
      </c>
      <c r="C247" s="9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20</v>
      </c>
      <c r="M247" s="10" t="s">
        <v>26</v>
      </c>
      <c r="N247" s="10">
        <v>656.86</v>
      </c>
      <c r="O247" s="27" t="s">
        <v>100</v>
      </c>
      <c r="P247" s="12" t="s">
        <v>100</v>
      </c>
      <c r="Q247" s="55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15</v>
      </c>
      <c r="M248" s="15" t="s">
        <v>26</v>
      </c>
      <c r="N248" s="15">
        <v>710.07</v>
      </c>
      <c r="O248" s="27" t="s">
        <v>27</v>
      </c>
      <c r="P248" s="17" t="s">
        <v>48</v>
      </c>
      <c r="Q248" s="55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15</v>
      </c>
      <c r="M249" s="10" t="s">
        <v>16</v>
      </c>
      <c r="N249" s="10">
        <v>374.36</v>
      </c>
      <c r="O249" s="27" t="s">
        <v>41</v>
      </c>
      <c r="P249" s="12" t="s">
        <v>44</v>
      </c>
      <c r="Q249" s="55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15</v>
      </c>
      <c r="M250" s="15" t="s">
        <v>16</v>
      </c>
      <c r="N250" s="15">
        <v>214.85</v>
      </c>
      <c r="O250" s="27" t="s">
        <v>79</v>
      </c>
      <c r="P250" s="17" t="s">
        <v>55</v>
      </c>
      <c r="Q250" s="55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8" t="s">
        <v>293</v>
      </c>
      <c r="B251" s="9" t="s">
        <v>576</v>
      </c>
      <c r="C251" s="9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15</v>
      </c>
      <c r="M251" s="10" t="s">
        <v>26</v>
      </c>
      <c r="N251" s="10">
        <v>675.38</v>
      </c>
      <c r="O251" s="27" t="s">
        <v>27</v>
      </c>
      <c r="P251" s="12" t="s">
        <v>48</v>
      </c>
      <c r="Q251" s="55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15</v>
      </c>
      <c r="M252" s="15" t="s">
        <v>21</v>
      </c>
      <c r="N252" s="15">
        <v>906.63</v>
      </c>
      <c r="O252" s="27" t="s">
        <v>17</v>
      </c>
      <c r="P252" s="17" t="s">
        <v>17</v>
      </c>
      <c r="Q252" s="55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32</v>
      </c>
      <c r="M253" s="10" t="s">
        <v>21</v>
      </c>
      <c r="N253" s="10">
        <v>974.82</v>
      </c>
      <c r="O253" s="27" t="s">
        <v>100</v>
      </c>
      <c r="P253" s="12" t="s">
        <v>100</v>
      </c>
      <c r="Q253" s="55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20</v>
      </c>
      <c r="M254" s="15" t="s">
        <v>16</v>
      </c>
      <c r="N254" s="15">
        <v>268.47000000000003</v>
      </c>
      <c r="O254" s="27" t="s">
        <v>35</v>
      </c>
      <c r="P254" s="17" t="s">
        <v>30</v>
      </c>
      <c r="Q254" s="55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8" t="s">
        <v>297</v>
      </c>
      <c r="B255" s="9" t="s">
        <v>576</v>
      </c>
      <c r="C255" s="9" t="s">
        <v>576</v>
      </c>
      <c r="D255" s="10" t="s">
        <v>14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15</v>
      </c>
      <c r="M255" s="10" t="s">
        <v>26</v>
      </c>
      <c r="N255" s="10">
        <v>179.9</v>
      </c>
      <c r="O255" s="27" t="s">
        <v>79</v>
      </c>
      <c r="P255" s="12" t="s">
        <v>55</v>
      </c>
      <c r="Q255" s="55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15</v>
      </c>
      <c r="M256" s="15" t="s">
        <v>26</v>
      </c>
      <c r="N256" s="15">
        <v>51.66</v>
      </c>
      <c r="O256" s="27" t="s">
        <v>100</v>
      </c>
      <c r="P256" s="17" t="s">
        <v>65</v>
      </c>
      <c r="Q256" s="55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15</v>
      </c>
      <c r="M257" s="10" t="s">
        <v>16</v>
      </c>
      <c r="N257" s="10">
        <v>330.56</v>
      </c>
      <c r="O257" s="27" t="s">
        <v>35</v>
      </c>
      <c r="P257" s="12" t="s">
        <v>58</v>
      </c>
      <c r="Q257" s="55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15</v>
      </c>
      <c r="M258" s="15" t="s">
        <v>16</v>
      </c>
      <c r="N258" s="15">
        <v>1096.27</v>
      </c>
      <c r="O258" s="27" t="s">
        <v>41</v>
      </c>
      <c r="P258" s="17" t="s">
        <v>41</v>
      </c>
      <c r="Q258" s="55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8" t="s">
        <v>301</v>
      </c>
      <c r="B259" s="9" t="s">
        <v>576</v>
      </c>
      <c r="C259" s="9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20</v>
      </c>
      <c r="M259" s="10" t="s">
        <v>26</v>
      </c>
      <c r="N259" s="10">
        <v>848.11</v>
      </c>
      <c r="O259" s="27" t="s">
        <v>27</v>
      </c>
      <c r="P259" s="12" t="s">
        <v>39</v>
      </c>
      <c r="Q259" s="55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20</v>
      </c>
      <c r="M260" s="15" t="s">
        <v>21</v>
      </c>
      <c r="N260" s="15">
        <v>726.26</v>
      </c>
      <c r="O260" s="27" t="s">
        <v>79</v>
      </c>
      <c r="P260" s="17" t="s">
        <v>22</v>
      </c>
      <c r="Q260" s="55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32</v>
      </c>
      <c r="M261" s="10" t="s">
        <v>16</v>
      </c>
      <c r="N261" s="10">
        <v>106.36</v>
      </c>
      <c r="O261" s="27" t="s">
        <v>41</v>
      </c>
      <c r="P261" s="12" t="s">
        <v>41</v>
      </c>
      <c r="Q261" s="55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20</v>
      </c>
      <c r="M262" s="15" t="s">
        <v>21</v>
      </c>
      <c r="N262" s="15">
        <v>136.83000000000001</v>
      </c>
      <c r="O262" s="27" t="s">
        <v>35</v>
      </c>
      <c r="P262" s="17" t="s">
        <v>30</v>
      </c>
      <c r="Q262" s="55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8" t="s">
        <v>305</v>
      </c>
      <c r="B263" s="9" t="s">
        <v>576</v>
      </c>
      <c r="C263" s="9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15</v>
      </c>
      <c r="M263" s="10" t="s">
        <v>21</v>
      </c>
      <c r="N263" s="10">
        <v>531.95000000000005</v>
      </c>
      <c r="O263" s="27" t="s">
        <v>79</v>
      </c>
      <c r="P263" s="12" t="s">
        <v>79</v>
      </c>
      <c r="Q263" s="55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15</v>
      </c>
      <c r="M264" s="15" t="s">
        <v>26</v>
      </c>
      <c r="N264" s="15">
        <v>1235</v>
      </c>
      <c r="O264" s="27" t="s">
        <v>100</v>
      </c>
      <c r="P264" s="17" t="s">
        <v>65</v>
      </c>
      <c r="Q264" s="55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15</v>
      </c>
      <c r="M265" s="10" t="s">
        <v>21</v>
      </c>
      <c r="N265" s="10">
        <v>405.21</v>
      </c>
      <c r="O265" s="27" t="s">
        <v>27</v>
      </c>
      <c r="P265" s="12" t="s">
        <v>39</v>
      </c>
      <c r="Q265" s="55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15</v>
      </c>
      <c r="M266" s="15" t="s">
        <v>21</v>
      </c>
      <c r="N266" s="15">
        <v>276.95999999999998</v>
      </c>
      <c r="O266" s="27" t="s">
        <v>100</v>
      </c>
      <c r="P266" s="17" t="s">
        <v>100</v>
      </c>
      <c r="Q266" s="55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8" t="s">
        <v>309</v>
      </c>
      <c r="B267" s="9" t="s">
        <v>576</v>
      </c>
      <c r="C267" s="9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20</v>
      </c>
      <c r="M267" s="10" t="s">
        <v>26</v>
      </c>
      <c r="N267" s="10">
        <v>72.98</v>
      </c>
      <c r="O267" s="27" t="s">
        <v>41</v>
      </c>
      <c r="P267" s="12" t="s">
        <v>41</v>
      </c>
      <c r="Q267" s="55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20</v>
      </c>
      <c r="M268" s="15" t="s">
        <v>16</v>
      </c>
      <c r="N268" s="15">
        <v>55.65</v>
      </c>
      <c r="O268" s="27" t="s">
        <v>41</v>
      </c>
      <c r="P268" s="17" t="s">
        <v>41</v>
      </c>
      <c r="Q268" s="55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32</v>
      </c>
      <c r="M269" s="10" t="s">
        <v>21</v>
      </c>
      <c r="N269" s="10">
        <v>520.04</v>
      </c>
      <c r="O269" s="27" t="s">
        <v>41</v>
      </c>
      <c r="P269" s="12" t="s">
        <v>41</v>
      </c>
      <c r="Q269" s="55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20</v>
      </c>
      <c r="M270" s="15" t="s">
        <v>16</v>
      </c>
      <c r="N270" s="15">
        <v>705.97</v>
      </c>
      <c r="O270" s="27" t="s">
        <v>17</v>
      </c>
      <c r="P270" s="17" t="s">
        <v>52</v>
      </c>
      <c r="Q270" s="55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8" t="s">
        <v>313</v>
      </c>
      <c r="B271" s="9" t="s">
        <v>576</v>
      </c>
      <c r="C271" s="9" t="s">
        <v>576</v>
      </c>
      <c r="D271" s="10" t="s">
        <v>14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15</v>
      </c>
      <c r="M271" s="10" t="s">
        <v>26</v>
      </c>
      <c r="N271" s="10">
        <v>369.04</v>
      </c>
      <c r="O271" s="27" t="s">
        <v>79</v>
      </c>
      <c r="P271" s="12" t="s">
        <v>79</v>
      </c>
      <c r="Q271" s="55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15</v>
      </c>
      <c r="M272" s="15" t="s">
        <v>26</v>
      </c>
      <c r="N272" s="15">
        <v>696.38</v>
      </c>
      <c r="O272" s="27" t="s">
        <v>35</v>
      </c>
      <c r="P272" s="17" t="s">
        <v>30</v>
      </c>
      <c r="Q272" s="55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20</v>
      </c>
      <c r="M273" s="10" t="s">
        <v>26</v>
      </c>
      <c r="N273" s="10">
        <v>344.8</v>
      </c>
      <c r="O273" s="27" t="s">
        <v>35</v>
      </c>
      <c r="P273" s="12" t="s">
        <v>30</v>
      </c>
      <c r="Q273" s="55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32</v>
      </c>
      <c r="M274" s="15" t="s">
        <v>26</v>
      </c>
      <c r="N274" s="15">
        <v>399.72</v>
      </c>
      <c r="O274" s="27" t="s">
        <v>100</v>
      </c>
      <c r="P274" s="17" t="s">
        <v>65</v>
      </c>
      <c r="Q274" s="55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8" t="s">
        <v>317</v>
      </c>
      <c r="B275" s="9" t="s">
        <v>576</v>
      </c>
      <c r="C275" s="9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32</v>
      </c>
      <c r="M275" s="10" t="s">
        <v>26</v>
      </c>
      <c r="N275" s="10">
        <v>627.20000000000005</v>
      </c>
      <c r="O275" s="27" t="s">
        <v>100</v>
      </c>
      <c r="P275" s="12" t="s">
        <v>100</v>
      </c>
      <c r="Q275" s="55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20</v>
      </c>
      <c r="M276" s="15" t="s">
        <v>16</v>
      </c>
      <c r="N276" s="15">
        <v>139.74</v>
      </c>
      <c r="O276" s="27" t="s">
        <v>100</v>
      </c>
      <c r="P276" s="17" t="s">
        <v>65</v>
      </c>
      <c r="Q276" s="55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20</v>
      </c>
      <c r="M277" s="10" t="s">
        <v>16</v>
      </c>
      <c r="N277" s="10">
        <v>1369.07</v>
      </c>
      <c r="O277" s="27" t="s">
        <v>100</v>
      </c>
      <c r="P277" s="12" t="s">
        <v>100</v>
      </c>
      <c r="Q277" s="55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20</v>
      </c>
      <c r="M278" s="15" t="s">
        <v>26</v>
      </c>
      <c r="N278" s="15">
        <v>620.79</v>
      </c>
      <c r="O278" s="27" t="s">
        <v>100</v>
      </c>
      <c r="P278" s="17" t="s">
        <v>63</v>
      </c>
      <c r="Q278" s="55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8" t="s">
        <v>321</v>
      </c>
      <c r="B279" s="9" t="s">
        <v>576</v>
      </c>
      <c r="C279" s="9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15</v>
      </c>
      <c r="M279" s="10" t="s">
        <v>21</v>
      </c>
      <c r="N279" s="10">
        <v>436.28</v>
      </c>
      <c r="O279" s="27" t="s">
        <v>79</v>
      </c>
      <c r="P279" s="12" t="s">
        <v>22</v>
      </c>
      <c r="Q279" s="55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20</v>
      </c>
      <c r="M280" s="15" t="s">
        <v>26</v>
      </c>
      <c r="N280" s="15">
        <v>202.72</v>
      </c>
      <c r="O280" s="27" t="s">
        <v>79</v>
      </c>
      <c r="P280" s="17" t="s">
        <v>55</v>
      </c>
      <c r="Q280" s="55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20</v>
      </c>
      <c r="M281" s="10" t="s">
        <v>26</v>
      </c>
      <c r="N281" s="10">
        <v>400.98</v>
      </c>
      <c r="O281" s="27" t="s">
        <v>27</v>
      </c>
      <c r="P281" s="12" t="s">
        <v>48</v>
      </c>
      <c r="Q281" s="55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32</v>
      </c>
      <c r="M282" s="15" t="s">
        <v>21</v>
      </c>
      <c r="N282" s="15">
        <v>139.09</v>
      </c>
      <c r="O282" s="27" t="s">
        <v>35</v>
      </c>
      <c r="P282" s="17" t="s">
        <v>58</v>
      </c>
      <c r="Q282" s="55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8" t="s">
        <v>325</v>
      </c>
      <c r="B283" s="9" t="s">
        <v>576</v>
      </c>
      <c r="C283" s="9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32</v>
      </c>
      <c r="M283" s="10" t="s">
        <v>21</v>
      </c>
      <c r="N283" s="10">
        <v>533.01</v>
      </c>
      <c r="O283" s="27" t="s">
        <v>35</v>
      </c>
      <c r="P283" s="12" t="s">
        <v>30</v>
      </c>
      <c r="Q283" s="55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15</v>
      </c>
      <c r="M284" s="15" t="s">
        <v>26</v>
      </c>
      <c r="N284" s="15">
        <v>1118.01</v>
      </c>
      <c r="O284" s="27" t="s">
        <v>27</v>
      </c>
      <c r="P284" s="17" t="s">
        <v>27</v>
      </c>
      <c r="Q284" s="55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32</v>
      </c>
      <c r="M285" s="10" t="s">
        <v>26</v>
      </c>
      <c r="N285" s="10">
        <v>580.76</v>
      </c>
      <c r="O285" s="27" t="s">
        <v>79</v>
      </c>
      <c r="P285" s="12" t="s">
        <v>22</v>
      </c>
      <c r="Q285" s="55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32</v>
      </c>
      <c r="M286" s="15" t="s">
        <v>21</v>
      </c>
      <c r="N286" s="15">
        <v>362.96</v>
      </c>
      <c r="O286" s="27" t="s">
        <v>79</v>
      </c>
      <c r="P286" s="17" t="s">
        <v>22</v>
      </c>
      <c r="Q286" s="55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8" t="s">
        <v>329</v>
      </c>
      <c r="B287" s="9" t="s">
        <v>576</v>
      </c>
      <c r="C287" s="9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20</v>
      </c>
      <c r="M287" s="10" t="s">
        <v>21</v>
      </c>
      <c r="N287" s="10">
        <v>289.24</v>
      </c>
      <c r="O287" s="27" t="s">
        <v>79</v>
      </c>
      <c r="P287" s="12" t="s">
        <v>22</v>
      </c>
      <c r="Q287" s="55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32</v>
      </c>
      <c r="M288" s="15" t="s">
        <v>26</v>
      </c>
      <c r="N288" s="15">
        <v>749.57</v>
      </c>
      <c r="O288" s="27" t="s">
        <v>17</v>
      </c>
      <c r="P288" s="17" t="s">
        <v>17</v>
      </c>
      <c r="Q288" s="55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32</v>
      </c>
      <c r="M289" s="10" t="s">
        <v>26</v>
      </c>
      <c r="N289" s="10">
        <v>262.82</v>
      </c>
      <c r="O289" s="27" t="s">
        <v>41</v>
      </c>
      <c r="P289" s="12" t="s">
        <v>68</v>
      </c>
      <c r="Q289" s="55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32</v>
      </c>
      <c r="M290" s="15" t="s">
        <v>21</v>
      </c>
      <c r="N290" s="15">
        <v>367.39</v>
      </c>
      <c r="O290" s="27" t="s">
        <v>35</v>
      </c>
      <c r="P290" s="17" t="s">
        <v>58</v>
      </c>
      <c r="Q290" s="55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8" t="s">
        <v>333</v>
      </c>
      <c r="B291" s="9" t="s">
        <v>576</v>
      </c>
      <c r="C291" s="9" t="s">
        <v>576</v>
      </c>
      <c r="D291" s="10" t="s">
        <v>14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32</v>
      </c>
      <c r="M291" s="10" t="s">
        <v>26</v>
      </c>
      <c r="N291" s="10">
        <v>709.19</v>
      </c>
      <c r="O291" s="27" t="s">
        <v>41</v>
      </c>
      <c r="P291" s="12" t="s">
        <v>41</v>
      </c>
      <c r="Q291" s="55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32</v>
      </c>
      <c r="M292" s="15" t="s">
        <v>16</v>
      </c>
      <c r="N292" s="15">
        <v>442.59</v>
      </c>
      <c r="O292" s="27" t="s">
        <v>79</v>
      </c>
      <c r="P292" s="17" t="s">
        <v>79</v>
      </c>
      <c r="Q292" s="55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32</v>
      </c>
      <c r="M293" s="10" t="s">
        <v>26</v>
      </c>
      <c r="N293" s="10">
        <v>154.19</v>
      </c>
      <c r="O293" s="27" t="s">
        <v>35</v>
      </c>
      <c r="P293" s="12" t="s">
        <v>35</v>
      </c>
      <c r="Q293" s="55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32</v>
      </c>
      <c r="M294" s="15" t="s">
        <v>21</v>
      </c>
      <c r="N294" s="15">
        <v>753.91</v>
      </c>
      <c r="O294" s="27" t="s">
        <v>79</v>
      </c>
      <c r="P294" s="17" t="s">
        <v>55</v>
      </c>
      <c r="Q294" s="55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8" t="s">
        <v>337</v>
      </c>
      <c r="B295" s="9" t="s">
        <v>576</v>
      </c>
      <c r="C295" s="9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32</v>
      </c>
      <c r="M295" s="10" t="s">
        <v>16</v>
      </c>
      <c r="N295" s="10">
        <v>324.74</v>
      </c>
      <c r="O295" s="27" t="s">
        <v>35</v>
      </c>
      <c r="P295" s="12" t="s">
        <v>58</v>
      </c>
      <c r="Q295" s="55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15</v>
      </c>
      <c r="M296" s="15" t="s">
        <v>26</v>
      </c>
      <c r="N296" s="15">
        <v>351.13</v>
      </c>
      <c r="O296" s="27" t="s">
        <v>41</v>
      </c>
      <c r="P296" s="17" t="s">
        <v>41</v>
      </c>
      <c r="Q296" s="55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20</v>
      </c>
      <c r="M297" s="10" t="s">
        <v>21</v>
      </c>
      <c r="N297" s="10">
        <v>263.39999999999998</v>
      </c>
      <c r="O297" s="27" t="s">
        <v>41</v>
      </c>
      <c r="P297" s="12" t="s">
        <v>44</v>
      </c>
      <c r="Q297" s="55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32</v>
      </c>
      <c r="M298" s="15" t="s">
        <v>16</v>
      </c>
      <c r="N298" s="15">
        <v>519.6</v>
      </c>
      <c r="O298" s="27" t="s">
        <v>41</v>
      </c>
      <c r="P298" s="17" t="s">
        <v>68</v>
      </c>
      <c r="Q298" s="55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8" t="s">
        <v>341</v>
      </c>
      <c r="B299" s="9" t="s">
        <v>576</v>
      </c>
      <c r="C299" s="9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20</v>
      </c>
      <c r="M299" s="10" t="s">
        <v>21</v>
      </c>
      <c r="N299" s="10">
        <v>1102.6300000000001</v>
      </c>
      <c r="O299" s="27" t="s">
        <v>27</v>
      </c>
      <c r="P299" s="12" t="s">
        <v>27</v>
      </c>
      <c r="Q299" s="55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32</v>
      </c>
      <c r="M300" s="15" t="s">
        <v>26</v>
      </c>
      <c r="N300" s="15">
        <v>690.48</v>
      </c>
      <c r="O300" s="27" t="s">
        <v>41</v>
      </c>
      <c r="P300" s="17" t="s">
        <v>68</v>
      </c>
      <c r="Q300" s="55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15</v>
      </c>
      <c r="M301" s="10" t="s">
        <v>16</v>
      </c>
      <c r="N301" s="10">
        <v>196.2</v>
      </c>
      <c r="O301" s="27" t="s">
        <v>79</v>
      </c>
      <c r="P301" s="12" t="s">
        <v>79</v>
      </c>
      <c r="Q301" s="55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32</v>
      </c>
      <c r="M302" s="15" t="s">
        <v>26</v>
      </c>
      <c r="N302" s="15">
        <v>424.14</v>
      </c>
      <c r="O302" s="27" t="s">
        <v>27</v>
      </c>
      <c r="P302" s="17" t="s">
        <v>27</v>
      </c>
      <c r="Q302" s="55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8" t="s">
        <v>345</v>
      </c>
      <c r="B303" s="9" t="s">
        <v>576</v>
      </c>
      <c r="C303" s="9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15</v>
      </c>
      <c r="M303" s="10" t="s">
        <v>16</v>
      </c>
      <c r="N303" s="10">
        <v>29.94</v>
      </c>
      <c r="O303" s="27" t="s">
        <v>100</v>
      </c>
      <c r="P303" s="12" t="s">
        <v>65</v>
      </c>
      <c r="Q303" s="55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32</v>
      </c>
      <c r="M304" s="15" t="s">
        <v>26</v>
      </c>
      <c r="N304" s="15">
        <v>125.52</v>
      </c>
      <c r="O304" s="27" t="s">
        <v>27</v>
      </c>
      <c r="P304" s="17" t="s">
        <v>48</v>
      </c>
      <c r="Q304" s="55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32</v>
      </c>
      <c r="M305" s="10" t="s">
        <v>16</v>
      </c>
      <c r="N305" s="10">
        <v>800.8</v>
      </c>
      <c r="O305" s="27" t="s">
        <v>79</v>
      </c>
      <c r="P305" s="12" t="s">
        <v>55</v>
      </c>
      <c r="Q305" s="55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20</v>
      </c>
      <c r="M306" s="15" t="s">
        <v>21</v>
      </c>
      <c r="N306" s="15">
        <v>117.22</v>
      </c>
      <c r="O306" s="27" t="s">
        <v>79</v>
      </c>
      <c r="P306" s="17" t="s">
        <v>22</v>
      </c>
      <c r="Q306" s="55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8" t="s">
        <v>349</v>
      </c>
      <c r="B307" s="9" t="s">
        <v>576</v>
      </c>
      <c r="C307" s="9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32</v>
      </c>
      <c r="M307" s="10" t="s">
        <v>26</v>
      </c>
      <c r="N307" s="10">
        <v>491.84</v>
      </c>
      <c r="O307" s="27" t="s">
        <v>35</v>
      </c>
      <c r="P307" s="12" t="s">
        <v>35</v>
      </c>
      <c r="Q307" s="55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32</v>
      </c>
      <c r="M308" s="15" t="s">
        <v>26</v>
      </c>
      <c r="N308" s="15">
        <v>245.99</v>
      </c>
      <c r="O308" s="27" t="s">
        <v>27</v>
      </c>
      <c r="P308" s="17" t="s">
        <v>39</v>
      </c>
      <c r="Q308" s="55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15</v>
      </c>
      <c r="M309" s="10" t="s">
        <v>21</v>
      </c>
      <c r="N309" s="10">
        <v>665.8</v>
      </c>
      <c r="O309" s="27" t="s">
        <v>17</v>
      </c>
      <c r="P309" s="12" t="s">
        <v>95</v>
      </c>
      <c r="Q309" s="55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20</v>
      </c>
      <c r="M310" s="15" t="s">
        <v>26</v>
      </c>
      <c r="N310" s="15">
        <v>362.88</v>
      </c>
      <c r="O310" s="27" t="s">
        <v>27</v>
      </c>
      <c r="P310" s="17" t="s">
        <v>48</v>
      </c>
      <c r="Q310" s="55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8" t="s">
        <v>353</v>
      </c>
      <c r="B311" s="9" t="s">
        <v>576</v>
      </c>
      <c r="C311" s="9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32</v>
      </c>
      <c r="M311" s="10" t="s">
        <v>16</v>
      </c>
      <c r="N311" s="10">
        <v>234</v>
      </c>
      <c r="O311" s="27" t="s">
        <v>35</v>
      </c>
      <c r="P311" s="12" t="s">
        <v>30</v>
      </c>
      <c r="Q311" s="55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20</v>
      </c>
      <c r="M312" s="15" t="s">
        <v>21</v>
      </c>
      <c r="N312" s="15">
        <v>1033.49</v>
      </c>
      <c r="O312" s="27" t="s">
        <v>100</v>
      </c>
      <c r="P312" s="17" t="s">
        <v>100</v>
      </c>
      <c r="Q312" s="55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20</v>
      </c>
      <c r="M313" s="10" t="s">
        <v>16</v>
      </c>
      <c r="N313" s="10">
        <v>116.61</v>
      </c>
      <c r="O313" s="27" t="s">
        <v>79</v>
      </c>
      <c r="P313" s="12" t="s">
        <v>55</v>
      </c>
      <c r="Q313" s="55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32</v>
      </c>
      <c r="M314" s="15" t="s">
        <v>21</v>
      </c>
      <c r="N314" s="15">
        <v>309.11</v>
      </c>
      <c r="O314" s="27" t="s">
        <v>100</v>
      </c>
      <c r="P314" s="17" t="s">
        <v>63</v>
      </c>
      <c r="Q314" s="55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8" t="s">
        <v>357</v>
      </c>
      <c r="B315" s="9" t="s">
        <v>576</v>
      </c>
      <c r="C315" s="9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32</v>
      </c>
      <c r="M315" s="10" t="s">
        <v>16</v>
      </c>
      <c r="N315" s="10">
        <v>237.24</v>
      </c>
      <c r="O315" s="27" t="s">
        <v>35</v>
      </c>
      <c r="P315" s="12" t="s">
        <v>58</v>
      </c>
      <c r="Q315" s="55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32</v>
      </c>
      <c r="M316" s="15" t="s">
        <v>26</v>
      </c>
      <c r="N316" s="15">
        <v>108.85</v>
      </c>
      <c r="O316" s="27" t="s">
        <v>35</v>
      </c>
      <c r="P316" s="17" t="s">
        <v>58</v>
      </c>
      <c r="Q316" s="55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32</v>
      </c>
      <c r="M317" s="10" t="s">
        <v>16</v>
      </c>
      <c r="N317" s="10">
        <v>24.31</v>
      </c>
      <c r="O317" s="27" t="s">
        <v>17</v>
      </c>
      <c r="P317" s="12" t="s">
        <v>95</v>
      </c>
      <c r="Q317" s="55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32</v>
      </c>
      <c r="M318" s="15" t="s">
        <v>26</v>
      </c>
      <c r="N318" s="15">
        <v>762.19</v>
      </c>
      <c r="O318" s="27" t="s">
        <v>79</v>
      </c>
      <c r="P318" s="17" t="s">
        <v>79</v>
      </c>
      <c r="Q318" s="55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8" t="s">
        <v>361</v>
      </c>
      <c r="B319" s="9" t="s">
        <v>576</v>
      </c>
      <c r="C319" s="9" t="s">
        <v>576</v>
      </c>
      <c r="D319" s="10" t="s">
        <v>14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20</v>
      </c>
      <c r="M319" s="10" t="s">
        <v>21</v>
      </c>
      <c r="N319" s="10">
        <v>468.81</v>
      </c>
      <c r="O319" s="27" t="s">
        <v>100</v>
      </c>
      <c r="P319" s="12" t="s">
        <v>65</v>
      </c>
      <c r="Q319" s="55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15</v>
      </c>
      <c r="M320" s="15" t="s">
        <v>16</v>
      </c>
      <c r="N320" s="15">
        <v>102.29</v>
      </c>
      <c r="O320" s="27" t="s">
        <v>35</v>
      </c>
      <c r="P320" s="17" t="s">
        <v>58</v>
      </c>
      <c r="Q320" s="55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20</v>
      </c>
      <c r="M321" s="10" t="s">
        <v>16</v>
      </c>
      <c r="N321" s="10">
        <v>697.79</v>
      </c>
      <c r="O321" s="27" t="s">
        <v>41</v>
      </c>
      <c r="P321" s="12" t="s">
        <v>41</v>
      </c>
      <c r="Q321" s="55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32</v>
      </c>
      <c r="M322" s="15" t="s">
        <v>26</v>
      </c>
      <c r="N322" s="15">
        <v>226</v>
      </c>
      <c r="O322" s="27" t="s">
        <v>35</v>
      </c>
      <c r="P322" s="17" t="s">
        <v>58</v>
      </c>
      <c r="Q322" s="55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8" t="s">
        <v>365</v>
      </c>
      <c r="B323" s="9" t="s">
        <v>576</v>
      </c>
      <c r="C323" s="9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20</v>
      </c>
      <c r="M323" s="10" t="s">
        <v>21</v>
      </c>
      <c r="N323" s="10">
        <v>126.14</v>
      </c>
      <c r="O323" s="27" t="s">
        <v>100</v>
      </c>
      <c r="P323" s="12" t="s">
        <v>100</v>
      </c>
      <c r="Q323" s="55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15</v>
      </c>
      <c r="M324" s="15" t="s">
        <v>26</v>
      </c>
      <c r="N324" s="15">
        <v>761.11</v>
      </c>
      <c r="O324" s="27" t="s">
        <v>41</v>
      </c>
      <c r="P324" s="17" t="s">
        <v>41</v>
      </c>
      <c r="Q324" s="55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20</v>
      </c>
      <c r="M325" s="10" t="s">
        <v>21</v>
      </c>
      <c r="N325" s="10">
        <v>159.93</v>
      </c>
      <c r="O325" s="27" t="s">
        <v>79</v>
      </c>
      <c r="P325" s="12" t="s">
        <v>22</v>
      </c>
      <c r="Q325" s="55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32</v>
      </c>
      <c r="M326" s="15" t="s">
        <v>26</v>
      </c>
      <c r="N326" s="15">
        <v>797.25</v>
      </c>
      <c r="O326" s="27" t="s">
        <v>17</v>
      </c>
      <c r="P326" s="17" t="s">
        <v>95</v>
      </c>
      <c r="Q326" s="55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8" t="s">
        <v>369</v>
      </c>
      <c r="B327" s="9" t="s">
        <v>576</v>
      </c>
      <c r="C327" s="9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32</v>
      </c>
      <c r="M327" s="10" t="s">
        <v>26</v>
      </c>
      <c r="N327" s="10">
        <v>117.23</v>
      </c>
      <c r="O327" s="27" t="s">
        <v>79</v>
      </c>
      <c r="P327" s="12" t="s">
        <v>55</v>
      </c>
      <c r="Q327" s="55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32</v>
      </c>
      <c r="M328" s="15" t="s">
        <v>26</v>
      </c>
      <c r="N328" s="15">
        <v>100.03</v>
      </c>
      <c r="O328" s="27" t="s">
        <v>35</v>
      </c>
      <c r="P328" s="17" t="s">
        <v>35</v>
      </c>
      <c r="Q328" s="55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15</v>
      </c>
      <c r="M329" s="10" t="s">
        <v>16</v>
      </c>
      <c r="N329" s="10">
        <v>653.86</v>
      </c>
      <c r="O329" s="27" t="s">
        <v>41</v>
      </c>
      <c r="P329" s="12" t="s">
        <v>44</v>
      </c>
      <c r="Q329" s="55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32</v>
      </c>
      <c r="M330" s="15" t="s">
        <v>16</v>
      </c>
      <c r="N330" s="15">
        <v>1155.56</v>
      </c>
      <c r="O330" s="27" t="s">
        <v>35</v>
      </c>
      <c r="P330" s="17" t="s">
        <v>58</v>
      </c>
      <c r="Q330" s="55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8" t="s">
        <v>373</v>
      </c>
      <c r="B331" s="9" t="s">
        <v>576</v>
      </c>
      <c r="C331" s="9" t="s">
        <v>576</v>
      </c>
      <c r="D331" s="10" t="s">
        <v>14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32</v>
      </c>
      <c r="M331" s="10" t="s">
        <v>26</v>
      </c>
      <c r="N331" s="10">
        <v>902.41</v>
      </c>
      <c r="O331" s="27" t="s">
        <v>79</v>
      </c>
      <c r="P331" s="12" t="s">
        <v>79</v>
      </c>
      <c r="Q331" s="55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32</v>
      </c>
      <c r="M332" s="15" t="s">
        <v>21</v>
      </c>
      <c r="N332" s="15">
        <v>63.14</v>
      </c>
      <c r="O332" s="27" t="s">
        <v>79</v>
      </c>
      <c r="P332" s="17" t="s">
        <v>55</v>
      </c>
      <c r="Q332" s="55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32</v>
      </c>
      <c r="M333" s="10" t="s">
        <v>16</v>
      </c>
      <c r="N333" s="10">
        <v>217.76</v>
      </c>
      <c r="O333" s="27" t="s">
        <v>17</v>
      </c>
      <c r="P333" s="12" t="s">
        <v>17</v>
      </c>
      <c r="Q333" s="55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20</v>
      </c>
      <c r="M334" s="15" t="s">
        <v>26</v>
      </c>
      <c r="N334" s="15">
        <v>925.54</v>
      </c>
      <c r="O334" s="27" t="s">
        <v>41</v>
      </c>
      <c r="P334" s="17" t="s">
        <v>44</v>
      </c>
      <c r="Q334" s="55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8" t="s">
        <v>377</v>
      </c>
      <c r="B335" s="9" t="s">
        <v>576</v>
      </c>
      <c r="C335" s="9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32</v>
      </c>
      <c r="M335" s="10" t="s">
        <v>21</v>
      </c>
      <c r="N335" s="10">
        <v>388.34</v>
      </c>
      <c r="O335" s="27" t="s">
        <v>79</v>
      </c>
      <c r="P335" s="12" t="s">
        <v>55</v>
      </c>
      <c r="Q335" s="55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20</v>
      </c>
      <c r="M336" s="15" t="s">
        <v>21</v>
      </c>
      <c r="N336" s="15">
        <v>117.57</v>
      </c>
      <c r="O336" s="27" t="s">
        <v>100</v>
      </c>
      <c r="P336" s="17" t="s">
        <v>100</v>
      </c>
      <c r="Q336" s="55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15</v>
      </c>
      <c r="M337" s="10" t="s">
        <v>21</v>
      </c>
      <c r="N337" s="10">
        <v>48.42</v>
      </c>
      <c r="O337" s="27" t="s">
        <v>100</v>
      </c>
      <c r="P337" s="12" t="s">
        <v>100</v>
      </c>
      <c r="Q337" s="55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20</v>
      </c>
      <c r="M338" s="15" t="s">
        <v>26</v>
      </c>
      <c r="N338" s="15">
        <v>536.41999999999996</v>
      </c>
      <c r="O338" s="27" t="s">
        <v>17</v>
      </c>
      <c r="P338" s="17" t="s">
        <v>17</v>
      </c>
      <c r="Q338" s="55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8" t="s">
        <v>381</v>
      </c>
      <c r="B339" s="9" t="s">
        <v>576</v>
      </c>
      <c r="C339" s="9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20</v>
      </c>
      <c r="M339" s="10" t="s">
        <v>16</v>
      </c>
      <c r="N339" s="10">
        <v>370.75</v>
      </c>
      <c r="O339" s="27" t="s">
        <v>100</v>
      </c>
      <c r="P339" s="12" t="s">
        <v>63</v>
      </c>
      <c r="Q339" s="55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20</v>
      </c>
      <c r="M340" s="15" t="s">
        <v>21</v>
      </c>
      <c r="N340" s="15">
        <v>310.11</v>
      </c>
      <c r="O340" s="27" t="s">
        <v>27</v>
      </c>
      <c r="P340" s="17" t="s">
        <v>48</v>
      </c>
      <c r="Q340" s="55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20</v>
      </c>
      <c r="M341" s="10" t="s">
        <v>26</v>
      </c>
      <c r="N341" s="10">
        <v>25.28</v>
      </c>
      <c r="O341" s="27" t="s">
        <v>79</v>
      </c>
      <c r="P341" s="12" t="s">
        <v>55</v>
      </c>
      <c r="Q341" s="55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20</v>
      </c>
      <c r="M342" s="15" t="s">
        <v>26</v>
      </c>
      <c r="N342" s="15">
        <v>270.22000000000003</v>
      </c>
      <c r="O342" s="27" t="s">
        <v>35</v>
      </c>
      <c r="P342" s="17" t="s">
        <v>30</v>
      </c>
      <c r="Q342" s="55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8" t="s">
        <v>385</v>
      </c>
      <c r="B343" s="9" t="s">
        <v>576</v>
      </c>
      <c r="C343" s="9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20</v>
      </c>
      <c r="M343" s="10" t="s">
        <v>26</v>
      </c>
      <c r="N343" s="10">
        <v>581.83000000000004</v>
      </c>
      <c r="O343" s="27" t="s">
        <v>79</v>
      </c>
      <c r="P343" s="12" t="s">
        <v>55</v>
      </c>
      <c r="Q343" s="55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15</v>
      </c>
      <c r="M344" s="15" t="s">
        <v>26</v>
      </c>
      <c r="N344" s="15">
        <v>314.73</v>
      </c>
      <c r="O344" s="27" t="s">
        <v>35</v>
      </c>
      <c r="P344" s="17" t="s">
        <v>30</v>
      </c>
      <c r="Q344" s="55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32</v>
      </c>
      <c r="M345" s="10" t="s">
        <v>26</v>
      </c>
      <c r="N345" s="10">
        <v>413.97</v>
      </c>
      <c r="O345" s="27" t="s">
        <v>17</v>
      </c>
      <c r="P345" s="12" t="s">
        <v>52</v>
      </c>
      <c r="Q345" s="55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15</v>
      </c>
      <c r="M346" s="15" t="s">
        <v>16</v>
      </c>
      <c r="N346" s="15">
        <v>46.96</v>
      </c>
      <c r="O346" s="27" t="s">
        <v>17</v>
      </c>
      <c r="P346" s="17" t="s">
        <v>95</v>
      </c>
      <c r="Q346" s="55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20</v>
      </c>
      <c r="M347" s="10" t="s">
        <v>16</v>
      </c>
      <c r="N347" s="10">
        <v>448.63</v>
      </c>
      <c r="O347" s="27" t="s">
        <v>35</v>
      </c>
      <c r="P347" s="12" t="s">
        <v>58</v>
      </c>
      <c r="Q347" s="55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20</v>
      </c>
      <c r="M348" s="15" t="s">
        <v>26</v>
      </c>
      <c r="N348" s="15">
        <v>300.73</v>
      </c>
      <c r="O348" s="27" t="s">
        <v>17</v>
      </c>
      <c r="P348" s="17" t="s">
        <v>52</v>
      </c>
      <c r="Q348" s="55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20</v>
      </c>
      <c r="M349" s="10" t="s">
        <v>16</v>
      </c>
      <c r="N349" s="10">
        <v>347.16</v>
      </c>
      <c r="O349" s="27" t="s">
        <v>41</v>
      </c>
      <c r="P349" s="12" t="s">
        <v>44</v>
      </c>
      <c r="Q349" s="55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15</v>
      </c>
      <c r="M350" s="15" t="s">
        <v>26</v>
      </c>
      <c r="N350" s="15">
        <v>161.51</v>
      </c>
      <c r="O350" s="27" t="s">
        <v>17</v>
      </c>
      <c r="P350" s="17" t="s">
        <v>17</v>
      </c>
      <c r="Q350" s="55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8" t="s">
        <v>393</v>
      </c>
      <c r="B351" s="9" t="s">
        <v>576</v>
      </c>
      <c r="C351" s="9" t="s">
        <v>576</v>
      </c>
      <c r="D351" s="10" t="s">
        <v>14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20</v>
      </c>
      <c r="M351" s="10" t="s">
        <v>21</v>
      </c>
      <c r="N351" s="10">
        <v>46.99</v>
      </c>
      <c r="O351" s="27" t="s">
        <v>100</v>
      </c>
      <c r="P351" s="12" t="s">
        <v>63</v>
      </c>
      <c r="Q351" s="55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15</v>
      </c>
      <c r="M352" s="15" t="s">
        <v>16</v>
      </c>
      <c r="N352" s="15">
        <v>64.56</v>
      </c>
      <c r="O352" s="27" t="s">
        <v>27</v>
      </c>
      <c r="P352" s="17" t="s">
        <v>27</v>
      </c>
      <c r="Q352" s="55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20</v>
      </c>
      <c r="M353" s="10" t="s">
        <v>16</v>
      </c>
      <c r="N353" s="10">
        <v>289</v>
      </c>
      <c r="O353" s="27" t="s">
        <v>79</v>
      </c>
      <c r="P353" s="12" t="s">
        <v>79</v>
      </c>
      <c r="Q353" s="55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20</v>
      </c>
      <c r="M354" s="15" t="s">
        <v>26</v>
      </c>
      <c r="N354" s="15">
        <v>251.49</v>
      </c>
      <c r="O354" s="27" t="s">
        <v>79</v>
      </c>
      <c r="P354" s="17" t="s">
        <v>55</v>
      </c>
      <c r="Q354" s="55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8" t="s">
        <v>397</v>
      </c>
      <c r="B355" s="9" t="s">
        <v>576</v>
      </c>
      <c r="C355" s="9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15</v>
      </c>
      <c r="M355" s="10" t="s">
        <v>26</v>
      </c>
      <c r="N355" s="10">
        <v>399.43</v>
      </c>
      <c r="O355" s="27" t="s">
        <v>100</v>
      </c>
      <c r="P355" s="12" t="s">
        <v>100</v>
      </c>
      <c r="Q355" s="55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15</v>
      </c>
      <c r="M356" s="15" t="s">
        <v>16</v>
      </c>
      <c r="N356" s="15">
        <v>990.91</v>
      </c>
      <c r="O356" s="27" t="s">
        <v>100</v>
      </c>
      <c r="P356" s="17" t="s">
        <v>100</v>
      </c>
      <c r="Q356" s="55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15</v>
      </c>
      <c r="M357" s="10" t="s">
        <v>21</v>
      </c>
      <c r="N357" s="10">
        <v>197.89</v>
      </c>
      <c r="O357" s="27" t="s">
        <v>17</v>
      </c>
      <c r="P357" s="12" t="s">
        <v>95</v>
      </c>
      <c r="Q357" s="55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15</v>
      </c>
      <c r="M358" s="15" t="s">
        <v>16</v>
      </c>
      <c r="N358" s="15">
        <v>697.38</v>
      </c>
      <c r="O358" s="27" t="s">
        <v>17</v>
      </c>
      <c r="P358" s="17" t="s">
        <v>52</v>
      </c>
      <c r="Q358" s="55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8" t="s">
        <v>401</v>
      </c>
      <c r="B359" s="9" t="s">
        <v>576</v>
      </c>
      <c r="C359" s="9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20</v>
      </c>
      <c r="M359" s="10" t="s">
        <v>16</v>
      </c>
      <c r="N359" s="10">
        <v>743.04</v>
      </c>
      <c r="O359" s="27" t="s">
        <v>27</v>
      </c>
      <c r="P359" s="12" t="s">
        <v>27</v>
      </c>
      <c r="Q359" s="55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20</v>
      </c>
      <c r="M360" s="15" t="s">
        <v>16</v>
      </c>
      <c r="N360" s="15">
        <v>315.05</v>
      </c>
      <c r="O360" s="27" t="s">
        <v>79</v>
      </c>
      <c r="P360" s="17" t="s">
        <v>79</v>
      </c>
      <c r="Q360" s="55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32</v>
      </c>
      <c r="M361" s="10" t="s">
        <v>21</v>
      </c>
      <c r="N361" s="10">
        <v>88.73</v>
      </c>
      <c r="O361" s="27" t="s">
        <v>100</v>
      </c>
      <c r="P361" s="12" t="s">
        <v>100</v>
      </c>
      <c r="Q361" s="55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20</v>
      </c>
      <c r="M362" s="15" t="s">
        <v>21</v>
      </c>
      <c r="N362" s="15">
        <v>319.61</v>
      </c>
      <c r="O362" s="27" t="s">
        <v>79</v>
      </c>
      <c r="P362" s="17" t="s">
        <v>55</v>
      </c>
      <c r="Q362" s="55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8" t="s">
        <v>405</v>
      </c>
      <c r="B363" s="9" t="s">
        <v>576</v>
      </c>
      <c r="C363" s="9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20</v>
      </c>
      <c r="M363" s="10" t="s">
        <v>26</v>
      </c>
      <c r="N363" s="10">
        <v>466.97</v>
      </c>
      <c r="O363" s="27" t="s">
        <v>27</v>
      </c>
      <c r="P363" s="12" t="s">
        <v>27</v>
      </c>
      <c r="Q363" s="55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20</v>
      </c>
      <c r="M364" s="15" t="s">
        <v>16</v>
      </c>
      <c r="N364" s="15">
        <v>843.52</v>
      </c>
      <c r="O364" s="27" t="s">
        <v>100</v>
      </c>
      <c r="P364" s="17" t="s">
        <v>63</v>
      </c>
      <c r="Q364" s="55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20</v>
      </c>
      <c r="M365" s="10" t="s">
        <v>26</v>
      </c>
      <c r="N365" s="10">
        <v>156.33000000000001</v>
      </c>
      <c r="O365" s="27" t="s">
        <v>79</v>
      </c>
      <c r="P365" s="12" t="s">
        <v>22</v>
      </c>
      <c r="Q365" s="55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20</v>
      </c>
      <c r="M366" s="15" t="s">
        <v>21</v>
      </c>
      <c r="N366" s="15">
        <v>298.56</v>
      </c>
      <c r="O366" s="27" t="s">
        <v>27</v>
      </c>
      <c r="P366" s="17" t="s">
        <v>27</v>
      </c>
      <c r="Q366" s="55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8" t="s">
        <v>409</v>
      </c>
      <c r="B367" s="9" t="s">
        <v>576</v>
      </c>
      <c r="C367" s="9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32</v>
      </c>
      <c r="M367" s="10" t="s">
        <v>16</v>
      </c>
      <c r="N367" s="10">
        <v>482.97</v>
      </c>
      <c r="O367" s="27" t="s">
        <v>17</v>
      </c>
      <c r="P367" s="12" t="s">
        <v>95</v>
      </c>
      <c r="Q367" s="55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15</v>
      </c>
      <c r="M368" s="15" t="s">
        <v>16</v>
      </c>
      <c r="N368" s="15">
        <v>610.64</v>
      </c>
      <c r="O368" s="27" t="s">
        <v>35</v>
      </c>
      <c r="P368" s="17" t="s">
        <v>58</v>
      </c>
      <c r="Q368" s="55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20</v>
      </c>
      <c r="M369" s="10" t="s">
        <v>16</v>
      </c>
      <c r="N369" s="10">
        <v>664.27</v>
      </c>
      <c r="O369" s="27" t="s">
        <v>100</v>
      </c>
      <c r="P369" s="12" t="s">
        <v>63</v>
      </c>
      <c r="Q369" s="55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20</v>
      </c>
      <c r="M370" s="15" t="s">
        <v>16</v>
      </c>
      <c r="N370" s="15">
        <v>278.14999999999998</v>
      </c>
      <c r="O370" s="27" t="s">
        <v>79</v>
      </c>
      <c r="P370" s="17" t="s">
        <v>55</v>
      </c>
      <c r="Q370" s="55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8" t="s">
        <v>413</v>
      </c>
      <c r="B371" s="9" t="s">
        <v>576</v>
      </c>
      <c r="C371" s="9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15</v>
      </c>
      <c r="M371" s="10" t="s">
        <v>26</v>
      </c>
      <c r="N371" s="10">
        <v>354.91</v>
      </c>
      <c r="O371" s="27" t="s">
        <v>100</v>
      </c>
      <c r="P371" s="12" t="s">
        <v>65</v>
      </c>
      <c r="Q371" s="55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15</v>
      </c>
      <c r="M372" s="15" t="s">
        <v>16</v>
      </c>
      <c r="N372" s="15">
        <v>1039.42</v>
      </c>
      <c r="O372" s="27" t="s">
        <v>41</v>
      </c>
      <c r="P372" s="17" t="s">
        <v>68</v>
      </c>
      <c r="Q372" s="55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32</v>
      </c>
      <c r="M373" s="10" t="s">
        <v>21</v>
      </c>
      <c r="N373" s="10">
        <v>318.77</v>
      </c>
      <c r="O373" s="27" t="s">
        <v>41</v>
      </c>
      <c r="P373" s="12" t="s">
        <v>41</v>
      </c>
      <c r="Q373" s="55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32</v>
      </c>
      <c r="M374" s="15" t="s">
        <v>26</v>
      </c>
      <c r="N374" s="15">
        <v>455.08</v>
      </c>
      <c r="O374" s="27" t="s">
        <v>17</v>
      </c>
      <c r="P374" s="17" t="s">
        <v>17</v>
      </c>
      <c r="Q374" s="55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8" t="s">
        <v>417</v>
      </c>
      <c r="B375" s="9" t="s">
        <v>576</v>
      </c>
      <c r="C375" s="9" t="s">
        <v>576</v>
      </c>
      <c r="D375" s="10" t="s">
        <v>14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32</v>
      </c>
      <c r="M375" s="10" t="s">
        <v>16</v>
      </c>
      <c r="N375" s="10">
        <v>116.53</v>
      </c>
      <c r="O375" s="27" t="s">
        <v>35</v>
      </c>
      <c r="P375" s="12" t="s">
        <v>35</v>
      </c>
      <c r="Q375" s="55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15</v>
      </c>
      <c r="M376" s="15" t="s">
        <v>26</v>
      </c>
      <c r="N376" s="15">
        <v>181.06</v>
      </c>
      <c r="O376" s="27" t="s">
        <v>100</v>
      </c>
      <c r="P376" s="17" t="s">
        <v>100</v>
      </c>
      <c r="Q376" s="55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20</v>
      </c>
      <c r="M377" s="10" t="s">
        <v>26</v>
      </c>
      <c r="N377" s="10">
        <v>736.04</v>
      </c>
      <c r="O377" s="27" t="s">
        <v>100</v>
      </c>
      <c r="P377" s="12" t="s">
        <v>65</v>
      </c>
      <c r="Q377" s="55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15</v>
      </c>
      <c r="M378" s="15" t="s">
        <v>16</v>
      </c>
      <c r="N378" s="15">
        <v>119.18</v>
      </c>
      <c r="O378" s="27" t="s">
        <v>41</v>
      </c>
      <c r="P378" s="17" t="s">
        <v>41</v>
      </c>
      <c r="Q378" s="55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8" t="s">
        <v>421</v>
      </c>
      <c r="B379" s="9" t="s">
        <v>576</v>
      </c>
      <c r="C379" s="9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20</v>
      </c>
      <c r="M379" s="10" t="s">
        <v>21</v>
      </c>
      <c r="N379" s="10">
        <v>635.94000000000005</v>
      </c>
      <c r="O379" s="27" t="s">
        <v>27</v>
      </c>
      <c r="P379" s="12" t="s">
        <v>48</v>
      </c>
      <c r="Q379" s="55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15</v>
      </c>
      <c r="M380" s="15" t="s">
        <v>16</v>
      </c>
      <c r="N380" s="15">
        <v>200.91</v>
      </c>
      <c r="O380" s="27" t="s">
        <v>100</v>
      </c>
      <c r="P380" s="17" t="s">
        <v>65</v>
      </c>
      <c r="Q380" s="55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15</v>
      </c>
      <c r="M381" s="10" t="s">
        <v>16</v>
      </c>
      <c r="N381" s="10">
        <v>363.37</v>
      </c>
      <c r="O381" s="27" t="s">
        <v>100</v>
      </c>
      <c r="P381" s="12" t="s">
        <v>65</v>
      </c>
      <c r="Q381" s="55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15</v>
      </c>
      <c r="M382" s="15" t="s">
        <v>21</v>
      </c>
      <c r="N382" s="15">
        <v>477.12</v>
      </c>
      <c r="O382" s="27" t="s">
        <v>35</v>
      </c>
      <c r="P382" s="17" t="s">
        <v>35</v>
      </c>
      <c r="Q382" s="55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8" t="s">
        <v>425</v>
      </c>
      <c r="B383" s="9" t="s">
        <v>576</v>
      </c>
      <c r="C383" s="9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15</v>
      </c>
      <c r="M383" s="10" t="s">
        <v>16</v>
      </c>
      <c r="N383" s="10">
        <v>944.78</v>
      </c>
      <c r="O383" s="27" t="s">
        <v>79</v>
      </c>
      <c r="P383" s="12" t="s">
        <v>79</v>
      </c>
      <c r="Q383" s="55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20</v>
      </c>
      <c r="M384" s="15" t="s">
        <v>21</v>
      </c>
      <c r="N384" s="15">
        <v>96.16</v>
      </c>
      <c r="O384" s="27" t="s">
        <v>27</v>
      </c>
      <c r="P384" s="17" t="s">
        <v>39</v>
      </c>
      <c r="Q384" s="55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20</v>
      </c>
      <c r="M385" s="10" t="s">
        <v>26</v>
      </c>
      <c r="N385" s="10">
        <v>274.62</v>
      </c>
      <c r="O385" s="27" t="s">
        <v>79</v>
      </c>
      <c r="P385" s="12" t="s">
        <v>55</v>
      </c>
      <c r="Q385" s="55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20</v>
      </c>
      <c r="M386" s="15" t="s">
        <v>21</v>
      </c>
      <c r="N386" s="15">
        <v>268.52999999999997</v>
      </c>
      <c r="O386" s="27" t="s">
        <v>17</v>
      </c>
      <c r="P386" s="17" t="s">
        <v>17</v>
      </c>
      <c r="Q386" s="55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8" t="s">
        <v>429</v>
      </c>
      <c r="B387" s="9" t="s">
        <v>576</v>
      </c>
      <c r="C387" s="9" t="s">
        <v>576</v>
      </c>
      <c r="D387" s="10" t="s">
        <v>14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20</v>
      </c>
      <c r="M387" s="10" t="s">
        <v>26</v>
      </c>
      <c r="N387" s="10">
        <v>223.02</v>
      </c>
      <c r="O387" s="27" t="s">
        <v>79</v>
      </c>
      <c r="P387" s="12" t="s">
        <v>79</v>
      </c>
      <c r="Q387" s="55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32</v>
      </c>
      <c r="M388" s="15" t="s">
        <v>21</v>
      </c>
      <c r="N388" s="15">
        <v>234.09</v>
      </c>
      <c r="O388" s="27" t="s">
        <v>17</v>
      </c>
      <c r="P388" s="17" t="s">
        <v>17</v>
      </c>
      <c r="Q388" s="55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32</v>
      </c>
      <c r="M389" s="10" t="s">
        <v>26</v>
      </c>
      <c r="N389" s="10">
        <v>190.23</v>
      </c>
      <c r="O389" s="27" t="s">
        <v>35</v>
      </c>
      <c r="P389" s="12" t="s">
        <v>30</v>
      </c>
      <c r="Q389" s="55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15</v>
      </c>
      <c r="M390" s="15" t="s">
        <v>21</v>
      </c>
      <c r="N390" s="15">
        <v>666.29</v>
      </c>
      <c r="O390" s="27" t="s">
        <v>17</v>
      </c>
      <c r="P390" s="17" t="s">
        <v>95</v>
      </c>
      <c r="Q390" s="55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8" t="s">
        <v>433</v>
      </c>
      <c r="B391" s="9" t="s">
        <v>576</v>
      </c>
      <c r="C391" s="9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20</v>
      </c>
      <c r="M391" s="10" t="s">
        <v>26</v>
      </c>
      <c r="N391" s="10">
        <v>233.82</v>
      </c>
      <c r="O391" s="27" t="s">
        <v>27</v>
      </c>
      <c r="P391" s="12" t="s">
        <v>27</v>
      </c>
      <c r="Q391" s="55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20</v>
      </c>
      <c r="M392" s="15" t="s">
        <v>16</v>
      </c>
      <c r="N392" s="15">
        <v>447.64</v>
      </c>
      <c r="O392" s="27" t="s">
        <v>35</v>
      </c>
      <c r="P392" s="17" t="s">
        <v>58</v>
      </c>
      <c r="Q392" s="55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15</v>
      </c>
      <c r="M393" s="10" t="s">
        <v>21</v>
      </c>
      <c r="N393" s="10">
        <v>632.89</v>
      </c>
      <c r="O393" s="27" t="s">
        <v>100</v>
      </c>
      <c r="P393" s="12" t="s">
        <v>63</v>
      </c>
      <c r="Q393" s="55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15</v>
      </c>
      <c r="M394" s="15" t="s">
        <v>21</v>
      </c>
      <c r="N394" s="15">
        <v>513.26</v>
      </c>
      <c r="O394" s="27" t="s">
        <v>41</v>
      </c>
      <c r="P394" s="17" t="s">
        <v>68</v>
      </c>
      <c r="Q394" s="55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8" t="s">
        <v>437</v>
      </c>
      <c r="B395" s="9" t="s">
        <v>576</v>
      </c>
      <c r="C395" s="9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15</v>
      </c>
      <c r="M395" s="10" t="s">
        <v>26</v>
      </c>
      <c r="N395" s="10">
        <v>431.14</v>
      </c>
      <c r="O395" s="27" t="s">
        <v>100</v>
      </c>
      <c r="P395" s="12" t="s">
        <v>63</v>
      </c>
      <c r="Q395" s="55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20</v>
      </c>
      <c r="M396" s="15" t="s">
        <v>21</v>
      </c>
      <c r="N396" s="15">
        <v>275.87</v>
      </c>
      <c r="O396" s="27" t="s">
        <v>35</v>
      </c>
      <c r="P396" s="17" t="s">
        <v>30</v>
      </c>
      <c r="Q396" s="55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20</v>
      </c>
      <c r="M397" s="10" t="s">
        <v>21</v>
      </c>
      <c r="N397" s="10">
        <v>547.59</v>
      </c>
      <c r="O397" s="27" t="s">
        <v>27</v>
      </c>
      <c r="P397" s="12" t="s">
        <v>48</v>
      </c>
      <c r="Q397" s="55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20</v>
      </c>
      <c r="M398" s="15" t="s">
        <v>21</v>
      </c>
      <c r="N398" s="15">
        <v>367.48</v>
      </c>
      <c r="O398" s="27" t="s">
        <v>79</v>
      </c>
      <c r="P398" s="17" t="s">
        <v>22</v>
      </c>
      <c r="Q398" s="55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8" t="s">
        <v>441</v>
      </c>
      <c r="B399" s="9" t="s">
        <v>576</v>
      </c>
      <c r="C399" s="9" t="s">
        <v>576</v>
      </c>
      <c r="D399" s="10" t="s">
        <v>14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32</v>
      </c>
      <c r="M399" s="10" t="s">
        <v>21</v>
      </c>
      <c r="N399" s="10">
        <v>66.31</v>
      </c>
      <c r="O399" s="27" t="s">
        <v>27</v>
      </c>
      <c r="P399" s="12" t="s">
        <v>39</v>
      </c>
      <c r="Q399" s="55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15</v>
      </c>
      <c r="M400" s="15" t="s">
        <v>21</v>
      </c>
      <c r="N400" s="15">
        <v>653.08000000000004</v>
      </c>
      <c r="O400" s="27" t="s">
        <v>35</v>
      </c>
      <c r="P400" s="17" t="s">
        <v>30</v>
      </c>
      <c r="Q400" s="55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20</v>
      </c>
      <c r="M401" s="10" t="s">
        <v>26</v>
      </c>
      <c r="N401" s="10">
        <v>484.92</v>
      </c>
      <c r="O401" s="27" t="s">
        <v>17</v>
      </c>
      <c r="P401" s="12" t="s">
        <v>52</v>
      </c>
      <c r="Q401" s="55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15</v>
      </c>
      <c r="M402" s="15" t="s">
        <v>21</v>
      </c>
      <c r="N402" s="15">
        <v>476.38</v>
      </c>
      <c r="O402" s="27" t="s">
        <v>79</v>
      </c>
      <c r="P402" s="17" t="s">
        <v>55</v>
      </c>
      <c r="Q402" s="55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8" t="s">
        <v>445</v>
      </c>
      <c r="B403" s="9" t="s">
        <v>576</v>
      </c>
      <c r="C403" s="9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32</v>
      </c>
      <c r="M403" s="10" t="s">
        <v>16</v>
      </c>
      <c r="N403" s="10">
        <v>339.95</v>
      </c>
      <c r="O403" s="27" t="s">
        <v>41</v>
      </c>
      <c r="P403" s="12" t="s">
        <v>68</v>
      </c>
      <c r="Q403" s="55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15</v>
      </c>
      <c r="M404" s="15" t="s">
        <v>16</v>
      </c>
      <c r="N404" s="15">
        <v>620.73</v>
      </c>
      <c r="O404" s="27" t="s">
        <v>79</v>
      </c>
      <c r="P404" s="17" t="s">
        <v>79</v>
      </c>
      <c r="Q404" s="55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20</v>
      </c>
      <c r="M405" s="10" t="s">
        <v>16</v>
      </c>
      <c r="N405" s="10">
        <v>300.44</v>
      </c>
      <c r="O405" s="27" t="s">
        <v>17</v>
      </c>
      <c r="P405" s="12" t="s">
        <v>95</v>
      </c>
      <c r="Q405" s="55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15</v>
      </c>
      <c r="M406" s="15" t="s">
        <v>26</v>
      </c>
      <c r="N406" s="15">
        <v>138.59</v>
      </c>
      <c r="O406" s="27" t="s">
        <v>79</v>
      </c>
      <c r="P406" s="17" t="s">
        <v>79</v>
      </c>
      <c r="Q406" s="55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8" t="s">
        <v>449</v>
      </c>
      <c r="B407" s="9" t="s">
        <v>576</v>
      </c>
      <c r="C407" s="9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20</v>
      </c>
      <c r="M407" s="10" t="s">
        <v>21</v>
      </c>
      <c r="N407" s="10">
        <v>398.59</v>
      </c>
      <c r="O407" s="27" t="s">
        <v>17</v>
      </c>
      <c r="P407" s="12" t="s">
        <v>52</v>
      </c>
      <c r="Q407" s="55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32</v>
      </c>
      <c r="M408" s="15" t="s">
        <v>21</v>
      </c>
      <c r="N408" s="15">
        <v>658.39</v>
      </c>
      <c r="O408" s="27" t="s">
        <v>100</v>
      </c>
      <c r="P408" s="17" t="s">
        <v>100</v>
      </c>
      <c r="Q408" s="55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32</v>
      </c>
      <c r="M409" s="10" t="s">
        <v>21</v>
      </c>
      <c r="N409" s="10">
        <v>240.4</v>
      </c>
      <c r="O409" s="27" t="s">
        <v>27</v>
      </c>
      <c r="P409" s="12" t="s">
        <v>27</v>
      </c>
      <c r="Q409" s="55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20</v>
      </c>
      <c r="M410" s="15" t="s">
        <v>21</v>
      </c>
      <c r="N410" s="15">
        <v>160.11000000000001</v>
      </c>
      <c r="O410" s="27" t="s">
        <v>27</v>
      </c>
      <c r="P410" s="17" t="s">
        <v>27</v>
      </c>
      <c r="Q410" s="55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8" t="s">
        <v>453</v>
      </c>
      <c r="B411" s="9" t="s">
        <v>576</v>
      </c>
      <c r="C411" s="9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32</v>
      </c>
      <c r="M411" s="10" t="s">
        <v>26</v>
      </c>
      <c r="N411" s="10">
        <v>1145.5</v>
      </c>
      <c r="O411" s="27" t="s">
        <v>17</v>
      </c>
      <c r="P411" s="12" t="s">
        <v>52</v>
      </c>
      <c r="Q411" s="55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15</v>
      </c>
      <c r="M412" s="15" t="s">
        <v>16</v>
      </c>
      <c r="N412" s="15">
        <v>719.59</v>
      </c>
      <c r="O412" s="27" t="s">
        <v>100</v>
      </c>
      <c r="P412" s="17" t="s">
        <v>65</v>
      </c>
      <c r="Q412" s="55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32</v>
      </c>
      <c r="M413" s="10" t="s">
        <v>26</v>
      </c>
      <c r="N413" s="10">
        <v>199.91</v>
      </c>
      <c r="O413" s="27" t="s">
        <v>17</v>
      </c>
      <c r="P413" s="12" t="s">
        <v>52</v>
      </c>
      <c r="Q413" s="55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32</v>
      </c>
      <c r="M414" s="15" t="s">
        <v>21</v>
      </c>
      <c r="N414" s="15">
        <v>321.3</v>
      </c>
      <c r="O414" s="27" t="s">
        <v>79</v>
      </c>
      <c r="P414" s="17" t="s">
        <v>55</v>
      </c>
      <c r="Q414" s="55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8" t="s">
        <v>457</v>
      </c>
      <c r="B415" s="9" t="s">
        <v>576</v>
      </c>
      <c r="C415" s="9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32</v>
      </c>
      <c r="M415" s="10" t="s">
        <v>21</v>
      </c>
      <c r="N415" s="10">
        <v>369.36</v>
      </c>
      <c r="O415" s="27" t="s">
        <v>27</v>
      </c>
      <c r="P415" s="12" t="s">
        <v>39</v>
      </c>
      <c r="Q415" s="55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32</v>
      </c>
      <c r="M416" s="15" t="s">
        <v>21</v>
      </c>
      <c r="N416" s="15">
        <v>1318.47</v>
      </c>
      <c r="O416" s="27" t="s">
        <v>27</v>
      </c>
      <c r="P416" s="17" t="s">
        <v>48</v>
      </c>
      <c r="Q416" s="55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20</v>
      </c>
      <c r="M417" s="10" t="s">
        <v>16</v>
      </c>
      <c r="N417" s="10">
        <v>954.08</v>
      </c>
      <c r="O417" s="27" t="s">
        <v>41</v>
      </c>
      <c r="P417" s="12" t="s">
        <v>68</v>
      </c>
      <c r="Q417" s="55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32</v>
      </c>
      <c r="M418" s="15" t="s">
        <v>21</v>
      </c>
      <c r="N418" s="15">
        <v>124.67</v>
      </c>
      <c r="O418" s="27" t="s">
        <v>17</v>
      </c>
      <c r="P418" s="17" t="s">
        <v>52</v>
      </c>
      <c r="Q418" s="55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8" t="s">
        <v>461</v>
      </c>
      <c r="B419" s="9" t="s">
        <v>576</v>
      </c>
      <c r="C419" s="9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20</v>
      </c>
      <c r="M419" s="10" t="s">
        <v>21</v>
      </c>
      <c r="N419" s="10">
        <v>1157.1600000000001</v>
      </c>
      <c r="O419" s="27" t="s">
        <v>35</v>
      </c>
      <c r="P419" s="12" t="s">
        <v>35</v>
      </c>
      <c r="Q419" s="55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20</v>
      </c>
      <c r="M420" s="15" t="s">
        <v>26</v>
      </c>
      <c r="N420" s="15">
        <v>66.28</v>
      </c>
      <c r="O420" s="27" t="s">
        <v>100</v>
      </c>
      <c r="P420" s="17" t="s">
        <v>63</v>
      </c>
      <c r="Q420" s="55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20</v>
      </c>
      <c r="M421" s="10" t="s">
        <v>21</v>
      </c>
      <c r="N421" s="10">
        <v>256.22000000000003</v>
      </c>
      <c r="O421" s="27" t="s">
        <v>17</v>
      </c>
      <c r="P421" s="12" t="s">
        <v>52</v>
      </c>
      <c r="Q421" s="55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15</v>
      </c>
      <c r="M422" s="15" t="s">
        <v>16</v>
      </c>
      <c r="N422" s="15">
        <v>517.95000000000005</v>
      </c>
      <c r="O422" s="27" t="s">
        <v>100</v>
      </c>
      <c r="P422" s="17" t="s">
        <v>63</v>
      </c>
      <c r="Q422" s="55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8" t="s">
        <v>465</v>
      </c>
      <c r="B423" s="9" t="s">
        <v>576</v>
      </c>
      <c r="C423" s="9" t="s">
        <v>576</v>
      </c>
      <c r="D423" s="10" t="s">
        <v>14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15</v>
      </c>
      <c r="M423" s="10" t="s">
        <v>26</v>
      </c>
      <c r="N423" s="10">
        <v>1006.56</v>
      </c>
      <c r="O423" s="27" t="s">
        <v>79</v>
      </c>
      <c r="P423" s="12" t="s">
        <v>79</v>
      </c>
      <c r="Q423" s="55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20</v>
      </c>
      <c r="M424" s="15" t="s">
        <v>21</v>
      </c>
      <c r="N424" s="15">
        <v>689.37</v>
      </c>
      <c r="O424" s="27" t="s">
        <v>100</v>
      </c>
      <c r="P424" s="17" t="s">
        <v>63</v>
      </c>
      <c r="Q424" s="55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15</v>
      </c>
      <c r="M425" s="10" t="s">
        <v>16</v>
      </c>
      <c r="N425" s="10">
        <v>654.1</v>
      </c>
      <c r="O425" s="27" t="s">
        <v>17</v>
      </c>
      <c r="P425" s="12" t="s">
        <v>17</v>
      </c>
      <c r="Q425" s="55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32</v>
      </c>
      <c r="M426" s="15" t="s">
        <v>26</v>
      </c>
      <c r="N426" s="15">
        <v>84.32</v>
      </c>
      <c r="O426" s="27" t="s">
        <v>35</v>
      </c>
      <c r="P426" s="17" t="s">
        <v>35</v>
      </c>
      <c r="Q426" s="55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8" t="s">
        <v>469</v>
      </c>
      <c r="B427" s="9" t="s">
        <v>576</v>
      </c>
      <c r="C427" s="9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15</v>
      </c>
      <c r="M427" s="10" t="s">
        <v>21</v>
      </c>
      <c r="N427" s="10">
        <v>1237.73</v>
      </c>
      <c r="O427" s="27" t="s">
        <v>100</v>
      </c>
      <c r="P427" s="12" t="s">
        <v>63</v>
      </c>
      <c r="Q427" s="55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32</v>
      </c>
      <c r="M428" s="15" t="s">
        <v>21</v>
      </c>
      <c r="N428" s="15">
        <v>954.37</v>
      </c>
      <c r="O428" s="27" t="s">
        <v>79</v>
      </c>
      <c r="P428" s="17" t="s">
        <v>55</v>
      </c>
      <c r="Q428" s="55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15</v>
      </c>
      <c r="M429" s="10" t="s">
        <v>26</v>
      </c>
      <c r="N429" s="10">
        <v>162.33000000000001</v>
      </c>
      <c r="O429" s="27" t="s">
        <v>79</v>
      </c>
      <c r="P429" s="12" t="s">
        <v>22</v>
      </c>
      <c r="Q429" s="55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20</v>
      </c>
      <c r="M430" s="15" t="s">
        <v>16</v>
      </c>
      <c r="N430" s="15">
        <v>639.24</v>
      </c>
      <c r="O430" s="27" t="s">
        <v>79</v>
      </c>
      <c r="P430" s="17" t="s">
        <v>79</v>
      </c>
      <c r="Q430" s="55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8" t="s">
        <v>473</v>
      </c>
      <c r="B431" s="9" t="s">
        <v>576</v>
      </c>
      <c r="C431" s="9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20</v>
      </c>
      <c r="M431" s="10" t="s">
        <v>26</v>
      </c>
      <c r="N431" s="10">
        <v>872.99</v>
      </c>
      <c r="O431" s="27" t="s">
        <v>17</v>
      </c>
      <c r="P431" s="12" t="s">
        <v>52</v>
      </c>
      <c r="Q431" s="55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15</v>
      </c>
      <c r="M432" s="15" t="s">
        <v>26</v>
      </c>
      <c r="N432" s="15">
        <v>558.38</v>
      </c>
      <c r="O432" s="27" t="s">
        <v>27</v>
      </c>
      <c r="P432" s="17" t="s">
        <v>39</v>
      </c>
      <c r="Q432" s="55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32</v>
      </c>
      <c r="M433" s="10" t="s">
        <v>16</v>
      </c>
      <c r="N433" s="10">
        <v>728.97</v>
      </c>
      <c r="O433" s="27" t="s">
        <v>17</v>
      </c>
      <c r="P433" s="12" t="s">
        <v>95</v>
      </c>
      <c r="Q433" s="55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32</v>
      </c>
      <c r="M434" s="15" t="s">
        <v>16</v>
      </c>
      <c r="N434" s="15">
        <v>920.08</v>
      </c>
      <c r="O434" s="27" t="s">
        <v>41</v>
      </c>
      <c r="P434" s="17" t="s">
        <v>44</v>
      </c>
      <c r="Q434" s="55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8" t="s">
        <v>477</v>
      </c>
      <c r="B435" s="9" t="s">
        <v>576</v>
      </c>
      <c r="C435" s="9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20</v>
      </c>
      <c r="M435" s="10" t="s">
        <v>21</v>
      </c>
      <c r="N435" s="10">
        <v>45.46</v>
      </c>
      <c r="O435" s="27" t="s">
        <v>41</v>
      </c>
      <c r="P435" s="12" t="s">
        <v>44</v>
      </c>
      <c r="Q435" s="55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32</v>
      </c>
      <c r="M436" s="15" t="s">
        <v>26</v>
      </c>
      <c r="N436" s="15">
        <v>628.74</v>
      </c>
      <c r="O436" s="27" t="s">
        <v>100</v>
      </c>
      <c r="P436" s="17" t="s">
        <v>65</v>
      </c>
      <c r="Q436" s="55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20</v>
      </c>
      <c r="M437" s="10" t="s">
        <v>21</v>
      </c>
      <c r="N437" s="10">
        <v>348.92</v>
      </c>
      <c r="O437" s="27" t="s">
        <v>100</v>
      </c>
      <c r="P437" s="12" t="s">
        <v>100</v>
      </c>
      <c r="Q437" s="55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15</v>
      </c>
      <c r="M438" s="15" t="s">
        <v>16</v>
      </c>
      <c r="N438" s="15">
        <v>11.62</v>
      </c>
      <c r="O438" s="27" t="s">
        <v>27</v>
      </c>
      <c r="P438" s="17" t="s">
        <v>39</v>
      </c>
      <c r="Q438" s="55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8" t="s">
        <v>481</v>
      </c>
      <c r="B439" s="9" t="s">
        <v>576</v>
      </c>
      <c r="C439" s="9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15</v>
      </c>
      <c r="M439" s="10" t="s">
        <v>26</v>
      </c>
      <c r="N439" s="10">
        <v>1202.19</v>
      </c>
      <c r="O439" s="27" t="s">
        <v>79</v>
      </c>
      <c r="P439" s="12" t="s">
        <v>79</v>
      </c>
      <c r="Q439" s="55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15</v>
      </c>
      <c r="M440" s="15" t="s">
        <v>26</v>
      </c>
      <c r="N440" s="15">
        <v>411.68</v>
      </c>
      <c r="O440" s="27" t="s">
        <v>100</v>
      </c>
      <c r="P440" s="17" t="s">
        <v>100</v>
      </c>
      <c r="Q440" s="55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20</v>
      </c>
      <c r="M441" s="10" t="s">
        <v>26</v>
      </c>
      <c r="N441" s="10">
        <v>225.89</v>
      </c>
      <c r="O441" s="27" t="s">
        <v>41</v>
      </c>
      <c r="P441" s="12" t="s">
        <v>41</v>
      </c>
      <c r="Q441" s="55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15</v>
      </c>
      <c r="M442" s="15" t="s">
        <v>16</v>
      </c>
      <c r="N442" s="15">
        <v>302.62</v>
      </c>
      <c r="O442" s="27" t="s">
        <v>41</v>
      </c>
      <c r="P442" s="17" t="s">
        <v>68</v>
      </c>
      <c r="Q442" s="55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8" t="s">
        <v>485</v>
      </c>
      <c r="B443" s="9" t="s">
        <v>576</v>
      </c>
      <c r="C443" s="9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32</v>
      </c>
      <c r="M443" s="10" t="s">
        <v>16</v>
      </c>
      <c r="N443" s="10">
        <v>887.13</v>
      </c>
      <c r="O443" s="27" t="s">
        <v>100</v>
      </c>
      <c r="P443" s="12" t="s">
        <v>100</v>
      </c>
      <c r="Q443" s="55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20</v>
      </c>
      <c r="M444" s="15" t="s">
        <v>26</v>
      </c>
      <c r="N444" s="15">
        <v>715.35</v>
      </c>
      <c r="O444" s="27" t="s">
        <v>27</v>
      </c>
      <c r="P444" s="17" t="s">
        <v>48</v>
      </c>
      <c r="Q444" s="55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32</v>
      </c>
      <c r="M445" s="10" t="s">
        <v>26</v>
      </c>
      <c r="N445" s="10">
        <v>416.16</v>
      </c>
      <c r="O445" s="27" t="s">
        <v>17</v>
      </c>
      <c r="P445" s="12" t="s">
        <v>52</v>
      </c>
      <c r="Q445" s="55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15</v>
      </c>
      <c r="M446" s="15" t="s">
        <v>16</v>
      </c>
      <c r="N446" s="15">
        <v>380.04</v>
      </c>
      <c r="O446" s="27" t="s">
        <v>100</v>
      </c>
      <c r="P446" s="17" t="s">
        <v>65</v>
      </c>
      <c r="Q446" s="55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8" t="s">
        <v>489</v>
      </c>
      <c r="B447" s="9" t="s">
        <v>576</v>
      </c>
      <c r="C447" s="9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20</v>
      </c>
      <c r="M447" s="10" t="s">
        <v>16</v>
      </c>
      <c r="N447" s="10">
        <v>537.94000000000005</v>
      </c>
      <c r="O447" s="27" t="s">
        <v>41</v>
      </c>
      <c r="P447" s="12" t="s">
        <v>68</v>
      </c>
      <c r="Q447" s="55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20</v>
      </c>
      <c r="M448" s="15" t="s">
        <v>16</v>
      </c>
      <c r="N448" s="15">
        <v>426.36</v>
      </c>
      <c r="O448" s="27" t="s">
        <v>100</v>
      </c>
      <c r="P448" s="17" t="s">
        <v>65</v>
      </c>
      <c r="Q448" s="55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20</v>
      </c>
      <c r="M449" s="10" t="s">
        <v>26</v>
      </c>
      <c r="N449" s="10">
        <v>446.02</v>
      </c>
      <c r="O449" s="27" t="s">
        <v>79</v>
      </c>
      <c r="P449" s="12" t="s">
        <v>22</v>
      </c>
      <c r="Q449" s="55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15</v>
      </c>
      <c r="M450" s="15" t="s">
        <v>21</v>
      </c>
      <c r="N450" s="15">
        <v>387.87</v>
      </c>
      <c r="O450" s="27" t="s">
        <v>35</v>
      </c>
      <c r="P450" s="17" t="s">
        <v>35</v>
      </c>
      <c r="Q450" s="55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8" t="s">
        <v>493</v>
      </c>
      <c r="B451" s="9" t="s">
        <v>576</v>
      </c>
      <c r="C451" s="9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20</v>
      </c>
      <c r="M451" s="10" t="s">
        <v>21</v>
      </c>
      <c r="N451" s="10">
        <v>77.650000000000006</v>
      </c>
      <c r="O451" s="27" t="s">
        <v>35</v>
      </c>
      <c r="P451" s="12" t="s">
        <v>30</v>
      </c>
      <c r="Q451" s="55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20</v>
      </c>
      <c r="M452" s="15" t="s">
        <v>26</v>
      </c>
      <c r="N452" s="15">
        <v>428.31</v>
      </c>
      <c r="O452" s="27" t="s">
        <v>27</v>
      </c>
      <c r="P452" s="17" t="s">
        <v>48</v>
      </c>
      <c r="Q452" s="55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15</v>
      </c>
      <c r="M453" s="10" t="s">
        <v>21</v>
      </c>
      <c r="N453" s="10">
        <v>79.13</v>
      </c>
      <c r="O453" s="27" t="s">
        <v>100</v>
      </c>
      <c r="P453" s="12" t="s">
        <v>63</v>
      </c>
      <c r="Q453" s="55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15</v>
      </c>
      <c r="M454" s="15" t="s">
        <v>26</v>
      </c>
      <c r="N454" s="15">
        <v>115.42</v>
      </c>
      <c r="O454" s="27" t="s">
        <v>17</v>
      </c>
      <c r="P454" s="17" t="s">
        <v>95</v>
      </c>
      <c r="Q454" s="55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8" t="s">
        <v>497</v>
      </c>
      <c r="B455" s="9" t="s">
        <v>576</v>
      </c>
      <c r="C455" s="9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32</v>
      </c>
      <c r="M455" s="10" t="s">
        <v>21</v>
      </c>
      <c r="N455" s="10">
        <v>150.09</v>
      </c>
      <c r="O455" s="27" t="s">
        <v>17</v>
      </c>
      <c r="P455" s="12" t="s">
        <v>52</v>
      </c>
      <c r="Q455" s="55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32</v>
      </c>
      <c r="M456" s="15" t="s">
        <v>26</v>
      </c>
      <c r="N456" s="15">
        <v>387.72</v>
      </c>
      <c r="O456" s="27" t="s">
        <v>41</v>
      </c>
      <c r="P456" s="17" t="s">
        <v>41</v>
      </c>
      <c r="Q456" s="55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32</v>
      </c>
      <c r="M457" s="10" t="s">
        <v>16</v>
      </c>
      <c r="N457" s="10">
        <v>482.71</v>
      </c>
      <c r="O457" s="27" t="s">
        <v>35</v>
      </c>
      <c r="P457" s="12" t="s">
        <v>35</v>
      </c>
      <c r="Q457" s="55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20</v>
      </c>
      <c r="M458" s="15" t="s">
        <v>21</v>
      </c>
      <c r="N458" s="15">
        <v>1074.45</v>
      </c>
      <c r="O458" s="27" t="s">
        <v>100</v>
      </c>
      <c r="P458" s="17" t="s">
        <v>100</v>
      </c>
      <c r="Q458" s="55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8" t="s">
        <v>501</v>
      </c>
      <c r="B459" s="9" t="s">
        <v>576</v>
      </c>
      <c r="C459" s="9" t="s">
        <v>576</v>
      </c>
      <c r="D459" s="10" t="s">
        <v>14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15</v>
      </c>
      <c r="M459" s="10" t="s">
        <v>21</v>
      </c>
      <c r="N459" s="10">
        <v>659.46</v>
      </c>
      <c r="O459" s="27" t="s">
        <v>17</v>
      </c>
      <c r="P459" s="12" t="s">
        <v>17</v>
      </c>
      <c r="Q459" s="55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32</v>
      </c>
      <c r="M460" s="15" t="s">
        <v>16</v>
      </c>
      <c r="N460" s="15">
        <v>857.48</v>
      </c>
      <c r="O460" s="27" t="s">
        <v>79</v>
      </c>
      <c r="P460" s="17" t="s">
        <v>55</v>
      </c>
      <c r="Q460" s="55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32</v>
      </c>
      <c r="M461" s="10" t="s">
        <v>21</v>
      </c>
      <c r="N461" s="10">
        <v>68.510000000000005</v>
      </c>
      <c r="O461" s="27" t="s">
        <v>100</v>
      </c>
      <c r="P461" s="12" t="s">
        <v>65</v>
      </c>
      <c r="Q461" s="55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15</v>
      </c>
      <c r="M462" s="15" t="s">
        <v>26</v>
      </c>
      <c r="N462" s="15">
        <v>614.4</v>
      </c>
      <c r="O462" s="27" t="s">
        <v>17</v>
      </c>
      <c r="P462" s="17" t="s">
        <v>52</v>
      </c>
      <c r="Q462" s="55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8" t="s">
        <v>505</v>
      </c>
      <c r="B463" s="9" t="s">
        <v>576</v>
      </c>
      <c r="C463" s="9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20</v>
      </c>
      <c r="M463" s="10" t="s">
        <v>26</v>
      </c>
      <c r="N463" s="10">
        <v>492.8</v>
      </c>
      <c r="O463" s="27" t="s">
        <v>41</v>
      </c>
      <c r="P463" s="12" t="s">
        <v>68</v>
      </c>
      <c r="Q463" s="55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15</v>
      </c>
      <c r="M464" s="15" t="s">
        <v>16</v>
      </c>
      <c r="N464" s="15">
        <v>145.88999999999999</v>
      </c>
      <c r="O464" s="27" t="s">
        <v>17</v>
      </c>
      <c r="P464" s="17" t="s">
        <v>52</v>
      </c>
      <c r="Q464" s="55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15</v>
      </c>
      <c r="M465" s="10" t="s">
        <v>21</v>
      </c>
      <c r="N465" s="10">
        <v>668.21</v>
      </c>
      <c r="O465" s="27" t="s">
        <v>27</v>
      </c>
      <c r="P465" s="12" t="s">
        <v>27</v>
      </c>
      <c r="Q465" s="55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15</v>
      </c>
      <c r="M466" s="15" t="s">
        <v>26</v>
      </c>
      <c r="N466" s="15">
        <v>551.62</v>
      </c>
      <c r="O466" s="27" t="s">
        <v>100</v>
      </c>
      <c r="P466" s="17" t="s">
        <v>100</v>
      </c>
      <c r="Q466" s="55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8" t="s">
        <v>509</v>
      </c>
      <c r="B467" s="9" t="s">
        <v>576</v>
      </c>
      <c r="C467" s="9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20</v>
      </c>
      <c r="M467" s="10" t="s">
        <v>16</v>
      </c>
      <c r="N467" s="10">
        <v>791.13</v>
      </c>
      <c r="O467" s="27" t="s">
        <v>79</v>
      </c>
      <c r="P467" s="12" t="s">
        <v>55</v>
      </c>
      <c r="Q467" s="55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32</v>
      </c>
      <c r="M468" s="15" t="s">
        <v>21</v>
      </c>
      <c r="N468" s="15">
        <v>668.11</v>
      </c>
      <c r="O468" s="27" t="s">
        <v>100</v>
      </c>
      <c r="P468" s="17" t="s">
        <v>65</v>
      </c>
      <c r="Q468" s="55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32</v>
      </c>
      <c r="M469" s="10" t="s">
        <v>26</v>
      </c>
      <c r="N469" s="10">
        <v>1246.55</v>
      </c>
      <c r="O469" s="27" t="s">
        <v>79</v>
      </c>
      <c r="P469" s="12" t="s">
        <v>55</v>
      </c>
      <c r="Q469" s="55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20</v>
      </c>
      <c r="M470" s="15" t="s">
        <v>21</v>
      </c>
      <c r="N470" s="15">
        <v>36.9</v>
      </c>
      <c r="O470" s="27" t="s">
        <v>41</v>
      </c>
      <c r="P470" s="17" t="s">
        <v>44</v>
      </c>
      <c r="Q470" s="55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8" t="s">
        <v>513</v>
      </c>
      <c r="B471" s="9" t="s">
        <v>576</v>
      </c>
      <c r="C471" s="9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15</v>
      </c>
      <c r="M471" s="10" t="s">
        <v>21</v>
      </c>
      <c r="N471" s="10">
        <v>53.78</v>
      </c>
      <c r="O471" s="27" t="s">
        <v>27</v>
      </c>
      <c r="P471" s="12" t="s">
        <v>27</v>
      </c>
      <c r="Q471" s="55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15</v>
      </c>
      <c r="M472" s="15" t="s">
        <v>26</v>
      </c>
      <c r="N472" s="15">
        <v>397.26</v>
      </c>
      <c r="O472" s="27" t="s">
        <v>100</v>
      </c>
      <c r="P472" s="17" t="s">
        <v>100</v>
      </c>
      <c r="Q472" s="55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32</v>
      </c>
      <c r="M473" s="10" t="s">
        <v>21</v>
      </c>
      <c r="N473" s="10">
        <v>109.12</v>
      </c>
      <c r="O473" s="27" t="s">
        <v>41</v>
      </c>
      <c r="P473" s="12" t="s">
        <v>41</v>
      </c>
      <c r="Q473" s="55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32</v>
      </c>
      <c r="M474" s="15" t="s">
        <v>26</v>
      </c>
      <c r="N474" s="15">
        <v>545.08000000000004</v>
      </c>
      <c r="O474" s="27" t="s">
        <v>79</v>
      </c>
      <c r="P474" s="17" t="s">
        <v>55</v>
      </c>
      <c r="Q474" s="55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8" t="s">
        <v>517</v>
      </c>
      <c r="B475" s="9" t="s">
        <v>576</v>
      </c>
      <c r="C475" s="9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15</v>
      </c>
      <c r="M475" s="10" t="s">
        <v>26</v>
      </c>
      <c r="N475" s="10">
        <v>512.98</v>
      </c>
      <c r="O475" s="27" t="s">
        <v>35</v>
      </c>
      <c r="P475" s="12" t="s">
        <v>58</v>
      </c>
      <c r="Q475" s="55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20</v>
      </c>
      <c r="M476" s="15" t="s">
        <v>26</v>
      </c>
      <c r="N476" s="15">
        <v>921.96</v>
      </c>
      <c r="O476" s="27" t="s">
        <v>17</v>
      </c>
      <c r="P476" s="17" t="s">
        <v>17</v>
      </c>
      <c r="Q476" s="55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32</v>
      </c>
      <c r="M477" s="10" t="s">
        <v>16</v>
      </c>
      <c r="N477" s="10">
        <v>191.82</v>
      </c>
      <c r="O477" s="27" t="s">
        <v>100</v>
      </c>
      <c r="P477" s="12" t="s">
        <v>65</v>
      </c>
      <c r="Q477" s="55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20</v>
      </c>
      <c r="M478" s="15" t="s">
        <v>16</v>
      </c>
      <c r="N478" s="15">
        <v>57.92</v>
      </c>
      <c r="O478" s="27" t="s">
        <v>27</v>
      </c>
      <c r="P478" s="17" t="s">
        <v>27</v>
      </c>
      <c r="Q478" s="55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8" t="s">
        <v>521</v>
      </c>
      <c r="B479" s="9" t="s">
        <v>576</v>
      </c>
      <c r="C479" s="9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20</v>
      </c>
      <c r="M479" s="10" t="s">
        <v>21</v>
      </c>
      <c r="N479" s="10">
        <v>523.78</v>
      </c>
      <c r="O479" s="27" t="s">
        <v>41</v>
      </c>
      <c r="P479" s="12" t="s">
        <v>44</v>
      </c>
      <c r="Q479" s="55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15</v>
      </c>
      <c r="M480" s="15" t="s">
        <v>26</v>
      </c>
      <c r="N480" s="15">
        <v>485.96</v>
      </c>
      <c r="O480" s="27" t="s">
        <v>41</v>
      </c>
      <c r="P480" s="17" t="s">
        <v>68</v>
      </c>
      <c r="Q480" s="55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20</v>
      </c>
      <c r="M481" s="10" t="s">
        <v>26</v>
      </c>
      <c r="N481" s="10">
        <v>149.71</v>
      </c>
      <c r="O481" s="27" t="s">
        <v>100</v>
      </c>
      <c r="P481" s="12" t="s">
        <v>100</v>
      </c>
      <c r="Q481" s="55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15</v>
      </c>
      <c r="M482" s="15" t="s">
        <v>26</v>
      </c>
      <c r="N482" s="15">
        <v>226.6</v>
      </c>
      <c r="O482" s="27" t="s">
        <v>100</v>
      </c>
      <c r="P482" s="17" t="s">
        <v>63</v>
      </c>
      <c r="Q482" s="55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8" t="s">
        <v>525</v>
      </c>
      <c r="B483" s="9" t="s">
        <v>576</v>
      </c>
      <c r="C483" s="9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20</v>
      </c>
      <c r="M483" s="10" t="s">
        <v>16</v>
      </c>
      <c r="N483" s="10">
        <v>778.64</v>
      </c>
      <c r="O483" s="27" t="s">
        <v>35</v>
      </c>
      <c r="P483" s="12" t="s">
        <v>58</v>
      </c>
      <c r="Q483" s="55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32</v>
      </c>
      <c r="M484" s="15" t="s">
        <v>26</v>
      </c>
      <c r="N484" s="15">
        <v>336.04</v>
      </c>
      <c r="O484" s="27" t="s">
        <v>100</v>
      </c>
      <c r="P484" s="17" t="s">
        <v>65</v>
      </c>
      <c r="Q484" s="55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15</v>
      </c>
      <c r="M485" s="10" t="s">
        <v>21</v>
      </c>
      <c r="N485" s="10">
        <v>74.44</v>
      </c>
      <c r="O485" s="27" t="s">
        <v>17</v>
      </c>
      <c r="P485" s="12" t="s">
        <v>95</v>
      </c>
      <c r="Q485" s="55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15</v>
      </c>
      <c r="M486" s="15" t="s">
        <v>21</v>
      </c>
      <c r="N486" s="15">
        <v>317.56</v>
      </c>
      <c r="O486" s="27" t="s">
        <v>100</v>
      </c>
      <c r="P486" s="17" t="s">
        <v>63</v>
      </c>
      <c r="Q486" s="55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8" t="s">
        <v>529</v>
      </c>
      <c r="B487" s="9" t="s">
        <v>576</v>
      </c>
      <c r="C487" s="9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15</v>
      </c>
      <c r="M487" s="10" t="s">
        <v>26</v>
      </c>
      <c r="N487" s="10">
        <v>731.64</v>
      </c>
      <c r="O487" s="27" t="s">
        <v>100</v>
      </c>
      <c r="P487" s="12" t="s">
        <v>100</v>
      </c>
      <c r="Q487" s="55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15</v>
      </c>
      <c r="M488" s="15" t="s">
        <v>21</v>
      </c>
      <c r="N488" s="15">
        <v>344.48</v>
      </c>
      <c r="O488" s="27" t="s">
        <v>27</v>
      </c>
      <c r="P488" s="17" t="s">
        <v>27</v>
      </c>
      <c r="Q488" s="55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32</v>
      </c>
      <c r="M489" s="10" t="s">
        <v>21</v>
      </c>
      <c r="N489" s="10">
        <v>270.99</v>
      </c>
      <c r="O489" s="27" t="s">
        <v>35</v>
      </c>
      <c r="P489" s="12" t="s">
        <v>30</v>
      </c>
      <c r="Q489" s="55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15</v>
      </c>
      <c r="M490" s="15" t="s">
        <v>21</v>
      </c>
      <c r="N490" s="15">
        <v>1091.53</v>
      </c>
      <c r="O490" s="27" t="s">
        <v>27</v>
      </c>
      <c r="P490" s="17" t="s">
        <v>48</v>
      </c>
      <c r="Q490" s="55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8" t="s">
        <v>533</v>
      </c>
      <c r="B491" s="9" t="s">
        <v>576</v>
      </c>
      <c r="C491" s="9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15</v>
      </c>
      <c r="M491" s="10" t="s">
        <v>26</v>
      </c>
      <c r="N491" s="10">
        <v>264.99</v>
      </c>
      <c r="O491" s="27" t="s">
        <v>79</v>
      </c>
      <c r="P491" s="12" t="s">
        <v>79</v>
      </c>
      <c r="Q491" s="55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32</v>
      </c>
      <c r="M492" s="15" t="s">
        <v>26</v>
      </c>
      <c r="N492" s="15">
        <v>1058.17</v>
      </c>
      <c r="O492" s="27" t="s">
        <v>35</v>
      </c>
      <c r="P492" s="17" t="s">
        <v>30</v>
      </c>
      <c r="Q492" s="55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20</v>
      </c>
      <c r="M493" s="10" t="s">
        <v>26</v>
      </c>
      <c r="N493" s="10">
        <v>99.89</v>
      </c>
      <c r="O493" s="27" t="s">
        <v>41</v>
      </c>
      <c r="P493" s="12" t="s">
        <v>44</v>
      </c>
      <c r="Q493" s="55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32</v>
      </c>
      <c r="M494" s="15" t="s">
        <v>26</v>
      </c>
      <c r="N494" s="15">
        <v>840.81</v>
      </c>
      <c r="O494" s="27" t="s">
        <v>27</v>
      </c>
      <c r="P494" s="17" t="s">
        <v>48</v>
      </c>
      <c r="Q494" s="55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8" t="s">
        <v>537</v>
      </c>
      <c r="B495" s="9" t="s">
        <v>576</v>
      </c>
      <c r="C495" s="9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20</v>
      </c>
      <c r="M495" s="10" t="s">
        <v>21</v>
      </c>
      <c r="N495" s="10">
        <v>764.68</v>
      </c>
      <c r="O495" s="27" t="s">
        <v>17</v>
      </c>
      <c r="P495" s="12" t="s">
        <v>17</v>
      </c>
      <c r="Q495" s="55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15</v>
      </c>
      <c r="M496" s="15" t="s">
        <v>26</v>
      </c>
      <c r="N496" s="15">
        <v>460.15</v>
      </c>
      <c r="O496" s="27" t="s">
        <v>79</v>
      </c>
      <c r="P496" s="17" t="s">
        <v>22</v>
      </c>
      <c r="Q496" s="55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15</v>
      </c>
      <c r="M497" s="10" t="s">
        <v>16</v>
      </c>
      <c r="N497" s="10">
        <v>220.52</v>
      </c>
      <c r="O497" s="27" t="s">
        <v>79</v>
      </c>
      <c r="P497" s="12" t="s">
        <v>22</v>
      </c>
      <c r="Q497" s="55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20</v>
      </c>
      <c r="M498" s="15" t="s">
        <v>16</v>
      </c>
      <c r="N498" s="15">
        <v>80.92</v>
      </c>
      <c r="O498" s="27" t="s">
        <v>17</v>
      </c>
      <c r="P498" s="17" t="s">
        <v>95</v>
      </c>
      <c r="Q498" s="55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8" t="s">
        <v>541</v>
      </c>
      <c r="B499" s="9" t="s">
        <v>576</v>
      </c>
      <c r="C499" s="9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15</v>
      </c>
      <c r="M499" s="10" t="s">
        <v>16</v>
      </c>
      <c r="N499" s="10">
        <v>343.75</v>
      </c>
      <c r="O499" s="27" t="s">
        <v>17</v>
      </c>
      <c r="P499" s="12" t="s">
        <v>95</v>
      </c>
      <c r="Q499" s="55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5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98" zoomScaleNormal="198" workbookViewId="0">
      <selection sqref="A1:G1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0" t="s">
        <v>545</v>
      </c>
      <c r="B1" s="30" t="s">
        <v>546</v>
      </c>
      <c r="C1" s="30" t="s">
        <v>547</v>
      </c>
      <c r="D1" s="30" t="s">
        <v>560</v>
      </c>
      <c r="E1" s="30" t="s">
        <v>565</v>
      </c>
      <c r="F1" s="30" t="s">
        <v>570</v>
      </c>
      <c r="G1" s="30" t="s">
        <v>575</v>
      </c>
    </row>
    <row r="2" spans="1:7" x14ac:dyDescent="0.3">
      <c r="A2" t="s">
        <v>548</v>
      </c>
      <c r="B2" t="s">
        <v>549</v>
      </c>
      <c r="C2" t="s">
        <v>550</v>
      </c>
      <c r="D2" s="29" t="s">
        <v>561</v>
      </c>
      <c r="E2" t="s">
        <v>566</v>
      </c>
      <c r="F2" t="s">
        <v>571</v>
      </c>
      <c r="G2">
        <v>88274225</v>
      </c>
    </row>
    <row r="3" spans="1:7" x14ac:dyDescent="0.3">
      <c r="A3" t="s">
        <v>551</v>
      </c>
      <c r="B3" t="s">
        <v>552</v>
      </c>
      <c r="C3" t="s">
        <v>553</v>
      </c>
      <c r="D3" s="29" t="s">
        <v>562</v>
      </c>
      <c r="E3" t="s">
        <v>567</v>
      </c>
      <c r="F3" t="s">
        <v>572</v>
      </c>
      <c r="G3">
        <v>94562368</v>
      </c>
    </row>
    <row r="4" spans="1:7" x14ac:dyDescent="0.3">
      <c r="A4" t="s">
        <v>554</v>
      </c>
      <c r="B4" t="s">
        <v>555</v>
      </c>
      <c r="C4" t="s">
        <v>558</v>
      </c>
      <c r="D4" s="29" t="s">
        <v>563</v>
      </c>
      <c r="E4" t="s">
        <v>568</v>
      </c>
      <c r="F4" t="s">
        <v>573</v>
      </c>
      <c r="G4">
        <v>25451474</v>
      </c>
    </row>
    <row r="5" spans="1:7" x14ac:dyDescent="0.3">
      <c r="A5" t="s">
        <v>556</v>
      </c>
      <c r="B5" t="s">
        <v>557</v>
      </c>
      <c r="C5" t="s">
        <v>559</v>
      </c>
      <c r="D5" s="29" t="s">
        <v>564</v>
      </c>
      <c r="E5" t="s">
        <v>569</v>
      </c>
      <c r="F5" t="s">
        <v>574</v>
      </c>
      <c r="G5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E7:M11"/>
  <sheetViews>
    <sheetView workbookViewId="0">
      <selection activeCell="N6" sqref="N6"/>
    </sheetView>
  </sheetViews>
  <sheetFormatPr defaultRowHeight="14.4" x14ac:dyDescent="0.3"/>
  <cols>
    <col min="5" max="5" width="12.44140625" customWidth="1"/>
    <col min="6" max="6" width="12.109375" customWidth="1"/>
    <col min="7" max="7" width="14.77734375" bestFit="1" customWidth="1"/>
    <col min="8" max="8" width="16.5546875" bestFit="1" customWidth="1"/>
    <col min="9" max="9" width="12" customWidth="1"/>
    <col min="10" max="10" width="13.77734375" bestFit="1" customWidth="1"/>
    <col min="11" max="11" width="11.5546875" customWidth="1"/>
  </cols>
  <sheetData>
    <row r="7" spans="5:13" x14ac:dyDescent="0.3">
      <c r="E7" s="35" t="s">
        <v>545</v>
      </c>
      <c r="F7" s="35" t="s">
        <v>546</v>
      </c>
      <c r="G7" s="35" t="s">
        <v>547</v>
      </c>
      <c r="H7" s="35" t="s">
        <v>560</v>
      </c>
      <c r="I7" s="35" t="s">
        <v>565</v>
      </c>
      <c r="J7" s="35" t="s">
        <v>570</v>
      </c>
      <c r="K7" s="35" t="s">
        <v>575</v>
      </c>
      <c r="L7" s="35" t="s">
        <v>582</v>
      </c>
      <c r="M7" s="35" t="s">
        <v>583</v>
      </c>
    </row>
    <row r="8" spans="5:13" x14ac:dyDescent="0.3">
      <c r="E8" s="31" t="s">
        <v>548</v>
      </c>
      <c r="F8" s="31" t="s">
        <v>549</v>
      </c>
      <c r="G8" s="31" t="s">
        <v>550</v>
      </c>
      <c r="H8" s="33" t="s">
        <v>561</v>
      </c>
      <c r="I8" s="31" t="s">
        <v>566</v>
      </c>
      <c r="J8" s="31" t="s">
        <v>578</v>
      </c>
      <c r="K8" s="31">
        <v>8827427215</v>
      </c>
      <c r="L8">
        <v>882742</v>
      </c>
      <c r="M8">
        <v>882</v>
      </c>
    </row>
    <row r="9" spans="5:13" x14ac:dyDescent="0.3">
      <c r="E9" s="32" t="s">
        <v>551</v>
      </c>
      <c r="F9" s="32" t="s">
        <v>552</v>
      </c>
      <c r="G9" s="32" t="s">
        <v>553</v>
      </c>
      <c r="H9" s="34" t="s">
        <v>562</v>
      </c>
      <c r="I9" s="32" t="s">
        <v>567</v>
      </c>
      <c r="J9" s="32" t="s">
        <v>579</v>
      </c>
      <c r="K9" s="32">
        <v>9456235168</v>
      </c>
      <c r="L9">
        <v>945623</v>
      </c>
      <c r="M9">
        <v>945</v>
      </c>
    </row>
    <row r="10" spans="5:13" x14ac:dyDescent="0.3">
      <c r="E10" s="31" t="s">
        <v>554</v>
      </c>
      <c r="F10" s="31" t="s">
        <v>555</v>
      </c>
      <c r="G10" s="31" t="s">
        <v>558</v>
      </c>
      <c r="H10" s="33" t="s">
        <v>563</v>
      </c>
      <c r="I10" s="31" t="s">
        <v>568</v>
      </c>
      <c r="J10" s="31" t="s">
        <v>580</v>
      </c>
      <c r="K10" s="31">
        <v>2545145714</v>
      </c>
      <c r="L10">
        <v>254514</v>
      </c>
      <c r="M10">
        <v>254</v>
      </c>
    </row>
    <row r="11" spans="5:13" x14ac:dyDescent="0.3">
      <c r="E11" s="36" t="s">
        <v>556</v>
      </c>
      <c r="F11" s="36" t="s">
        <v>557</v>
      </c>
      <c r="G11" s="36" t="s">
        <v>559</v>
      </c>
      <c r="H11" s="37" t="s">
        <v>564</v>
      </c>
      <c r="I11" s="36" t="s">
        <v>569</v>
      </c>
      <c r="J11" s="36" t="s">
        <v>581</v>
      </c>
      <c r="K11" s="36">
        <v>7756230516</v>
      </c>
      <c r="L11">
        <v>775623</v>
      </c>
      <c r="M11">
        <v>775</v>
      </c>
    </row>
  </sheetData>
  <hyperlinks>
    <hyperlink ref="H8" r:id="rId1" xr:uid="{60F69ABC-7E28-471F-A2DE-CB96EB95357E}"/>
    <hyperlink ref="H9" r:id="rId2" xr:uid="{B273964A-1D2E-4F5A-A1F6-344A15FB680C}"/>
    <hyperlink ref="H10" r:id="rId3" xr:uid="{1A750C7E-0D2B-4CD8-8F67-18BE8F92D08D}"/>
    <hyperlink ref="H11" r:id="rId4" xr:uid="{5EE7E1A5-CF9E-4A7B-B5C4-5057DD47A888}"/>
  </hyperlinks>
  <pageMargins left="0.7" right="0.7" top="0.75" bottom="0.75" header="0.3" footer="0.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:R25"/>
  <sheetViews>
    <sheetView topLeftCell="B13" workbookViewId="0">
      <selection activeCell="M27" sqref="M27"/>
    </sheetView>
  </sheetViews>
  <sheetFormatPr defaultRowHeight="14.4" x14ac:dyDescent="0.3"/>
  <cols>
    <col min="8" max="8" width="12.21875" bestFit="1" customWidth="1"/>
    <col min="9" max="9" width="11.88671875" bestFit="1" customWidth="1"/>
    <col min="10" max="10" width="18.44140625" bestFit="1" customWidth="1"/>
    <col min="12" max="13" width="11.21875" bestFit="1" customWidth="1"/>
    <col min="16" max="17" width="13.5546875" bestFit="1" customWidth="1"/>
    <col min="18" max="18" width="18.77734375" bestFit="1" customWidth="1"/>
  </cols>
  <sheetData>
    <row r="8" spans="8:14" ht="18" x14ac:dyDescent="0.3">
      <c r="H8" s="44" t="s">
        <v>584</v>
      </c>
      <c r="I8" s="45" t="s">
        <v>589</v>
      </c>
      <c r="J8" s="51" t="s">
        <v>590</v>
      </c>
      <c r="M8" s="40" t="s">
        <v>591</v>
      </c>
      <c r="N8" s="40" t="s">
        <v>595</v>
      </c>
    </row>
    <row r="9" spans="8:14" ht="18" x14ac:dyDescent="0.3">
      <c r="H9" s="42" t="s">
        <v>585</v>
      </c>
      <c r="I9" s="38">
        <v>75</v>
      </c>
      <c r="J9" s="50" t="str">
        <f>IF(I9&gt;=90,"A++",IF(I9&gt;75,"A+",IF(I9&gt;60,"A",IF(I9&gt;40,"B","Fail"))))</f>
        <v>A</v>
      </c>
      <c r="M9" s="40" t="s">
        <v>592</v>
      </c>
      <c r="N9" s="40" t="s">
        <v>596</v>
      </c>
    </row>
    <row r="10" spans="8:14" ht="18" x14ac:dyDescent="0.3">
      <c r="H10" s="42" t="s">
        <v>586</v>
      </c>
      <c r="I10" s="38">
        <v>78</v>
      </c>
      <c r="J10" s="50" t="str">
        <f>IF(I10&gt;=90,"A++",IF(I10&gt;75,"A+",IF(I10&gt;60,"A",IF(I10&gt;40,"B","Fail"))))</f>
        <v>A+</v>
      </c>
      <c r="M10" s="40" t="s">
        <v>593</v>
      </c>
      <c r="N10" s="40" t="s">
        <v>597</v>
      </c>
    </row>
    <row r="11" spans="8:14" ht="18" x14ac:dyDescent="0.3">
      <c r="H11" s="42" t="s">
        <v>587</v>
      </c>
      <c r="I11" s="38">
        <v>67</v>
      </c>
      <c r="J11" s="50" t="str">
        <f t="shared" ref="J11:J13" si="0">IF(I11&gt;=90,"A++",IF(I11&gt;75,"A+",IF(I11&gt;60,"A",IF(I11&gt;40,"B","Fail"))))</f>
        <v>A</v>
      </c>
      <c r="M11" s="40" t="s">
        <v>594</v>
      </c>
      <c r="N11" s="40" t="s">
        <v>598</v>
      </c>
    </row>
    <row r="12" spans="8:14" ht="18" x14ac:dyDescent="0.3">
      <c r="H12" s="42" t="s">
        <v>588</v>
      </c>
      <c r="I12" s="38">
        <v>45</v>
      </c>
      <c r="J12" s="50" t="str">
        <f t="shared" si="0"/>
        <v>B</v>
      </c>
      <c r="M12" s="39" t="s">
        <v>600</v>
      </c>
      <c r="N12" s="39" t="s">
        <v>601</v>
      </c>
    </row>
    <row r="13" spans="8:14" ht="18" x14ac:dyDescent="0.3">
      <c r="H13" s="47" t="s">
        <v>599</v>
      </c>
      <c r="I13" s="52">
        <v>30</v>
      </c>
      <c r="J13" s="53" t="str">
        <f t="shared" si="0"/>
        <v>Fail</v>
      </c>
    </row>
    <row r="17" spans="8:18" x14ac:dyDescent="0.3">
      <c r="P17" s="67" t="s">
        <v>607</v>
      </c>
      <c r="Q17" s="68" t="s">
        <v>608</v>
      </c>
      <c r="R17" s="69" t="s">
        <v>609</v>
      </c>
    </row>
    <row r="18" spans="8:18" ht="18" x14ac:dyDescent="0.35">
      <c r="H18" s="44" t="s">
        <v>584</v>
      </c>
      <c r="I18" s="45" t="s">
        <v>602</v>
      </c>
      <c r="J18" s="46" t="s">
        <v>603</v>
      </c>
      <c r="L18" s="59" t="s">
        <v>604</v>
      </c>
      <c r="M18" s="59" t="s">
        <v>603</v>
      </c>
      <c r="P18" s="61">
        <v>27</v>
      </c>
      <c r="Q18" s="60">
        <v>6</v>
      </c>
      <c r="R18" s="50">
        <f t="shared" ref="R18:R20" si="1">IFERROR(P18/Q18,"Cannot Devide by Zero")</f>
        <v>4.5</v>
      </c>
    </row>
    <row r="19" spans="8:18" ht="18" x14ac:dyDescent="0.3">
      <c r="H19" s="42" t="s">
        <v>585</v>
      </c>
      <c r="I19" s="41">
        <v>70000</v>
      </c>
      <c r="J19" s="43">
        <f>IF(I19&gt;$L$19,(I19*15%),IF(I19&gt;$L$20,(I19*10%),IF(I19&gt;$L$21,(I19*5%))))</f>
        <v>3500</v>
      </c>
      <c r="L19" s="60">
        <v>75000</v>
      </c>
      <c r="M19" s="65">
        <v>0.15</v>
      </c>
      <c r="P19" s="61">
        <v>45</v>
      </c>
      <c r="Q19" s="60">
        <v>5</v>
      </c>
      <c r="R19" s="50">
        <f t="shared" si="1"/>
        <v>9</v>
      </c>
    </row>
    <row r="20" spans="8:18" ht="18" x14ac:dyDescent="0.3">
      <c r="H20" s="42" t="s">
        <v>586</v>
      </c>
      <c r="I20" s="41">
        <v>50000</v>
      </c>
      <c r="J20" s="43" t="str">
        <f>IF(I20&gt;$L$19,(I20*15%),IF(I20&gt;$L$20,(I20*10%),IF(I20&gt;$L$21,(I20*5%),"No Bonus")))</f>
        <v>No Bonus</v>
      </c>
      <c r="L20" s="60">
        <v>70000</v>
      </c>
      <c r="M20" s="65">
        <v>0.1</v>
      </c>
      <c r="P20" s="61">
        <v>65</v>
      </c>
      <c r="Q20" s="60">
        <v>3</v>
      </c>
      <c r="R20" s="62">
        <f t="shared" si="1"/>
        <v>21.666666666666668</v>
      </c>
    </row>
    <row r="21" spans="8:18" ht="18" x14ac:dyDescent="0.3">
      <c r="H21" s="42" t="s">
        <v>587</v>
      </c>
      <c r="I21" s="41">
        <v>45000</v>
      </c>
      <c r="J21" s="43" t="str">
        <f>IF(I21&gt;$L$19,(I21*15%),IF(I21&gt;$L$20,(I21*10%),IF(I21&gt;$L$21,(I21*5%),"No Bonus")))</f>
        <v>No Bonus</v>
      </c>
      <c r="L21" s="60">
        <v>50000</v>
      </c>
      <c r="M21" s="65">
        <v>0.05</v>
      </c>
      <c r="P21" s="61">
        <v>60</v>
      </c>
      <c r="Q21" s="60">
        <v>0</v>
      </c>
      <c r="R21" s="50" t="str">
        <f>IFERROR(P21/Q21,"Cannot Devide by Zero")</f>
        <v>Cannot Devide by Zero</v>
      </c>
    </row>
    <row r="22" spans="8:18" ht="18" x14ac:dyDescent="0.3">
      <c r="H22" s="42" t="s">
        <v>588</v>
      </c>
      <c r="I22" s="41">
        <v>75000</v>
      </c>
      <c r="J22" s="43">
        <f>IF(I22&gt;$L$19,(I22*15%),IF(I22&gt;$L$20,(I22*10%),IF(I22&gt;$L$21,(I22*5%))))</f>
        <v>7500</v>
      </c>
      <c r="L22" s="59" t="s">
        <v>605</v>
      </c>
      <c r="M22" s="59" t="s">
        <v>606</v>
      </c>
      <c r="P22" s="63">
        <v>62</v>
      </c>
      <c r="Q22" s="64">
        <v>4</v>
      </c>
      <c r="R22" s="53">
        <f>IFERROR(P22/Q22,"Cannot Devide by Zero")</f>
        <v>15.5</v>
      </c>
    </row>
    <row r="23" spans="8:18" ht="18" x14ac:dyDescent="0.3">
      <c r="H23" s="47" t="s">
        <v>599</v>
      </c>
      <c r="I23" s="48">
        <v>55000</v>
      </c>
      <c r="J23" s="49">
        <f>IF(I23&gt;$L$19,(I23*15%),IF(I23&gt;$L$20,(I23*10%),IF(I23&gt;$L$21,(I23*5%))))</f>
        <v>2750</v>
      </c>
    </row>
    <row r="25" spans="8:18" x14ac:dyDescent="0.3">
      <c r="H25" s="66" t="s">
        <v>612</v>
      </c>
      <c r="I25" s="61">
        <f>SUMIF(Table4[Salary],"&gt;50000",Table4[Salary])</f>
        <v>200000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34D78-29E1-4CCD-BF36-EC79D09F917E}">
  <dimension ref="B3:G9"/>
  <sheetViews>
    <sheetView topLeftCell="A2" zoomScale="213" zoomScaleNormal="213" workbookViewId="0">
      <selection activeCell="F10" sqref="F10"/>
    </sheetView>
  </sheetViews>
  <sheetFormatPr defaultRowHeight="14.4" x14ac:dyDescent="0.3"/>
  <cols>
    <col min="2" max="2" width="9.88671875" bestFit="1" customWidth="1"/>
    <col min="4" max="4" width="8.88671875" style="75"/>
    <col min="6" max="6" width="23.6640625" bestFit="1" customWidth="1"/>
  </cols>
  <sheetData>
    <row r="3" spans="2:7" x14ac:dyDescent="0.3">
      <c r="B3" s="72" t="s">
        <v>2</v>
      </c>
      <c r="C3" s="73" t="s">
        <v>616</v>
      </c>
      <c r="D3" s="79" t="s">
        <v>617</v>
      </c>
    </row>
    <row r="4" spans="2:7" x14ac:dyDescent="0.3">
      <c r="B4" s="58" t="s">
        <v>618</v>
      </c>
      <c r="C4" s="71" t="s">
        <v>619</v>
      </c>
      <c r="D4" s="76">
        <v>2300</v>
      </c>
    </row>
    <row r="5" spans="2:7" x14ac:dyDescent="0.3">
      <c r="B5" s="58" t="s">
        <v>618</v>
      </c>
      <c r="C5" s="71" t="s">
        <v>620</v>
      </c>
      <c r="D5" s="77">
        <v>5500</v>
      </c>
    </row>
    <row r="6" spans="2:7" x14ac:dyDescent="0.3">
      <c r="B6" s="58" t="s">
        <v>621</v>
      </c>
      <c r="C6" s="71" t="s">
        <v>622</v>
      </c>
      <c r="D6" s="78">
        <v>800</v>
      </c>
      <c r="F6" s="70" t="s">
        <v>626</v>
      </c>
      <c r="G6">
        <f>SUMIF(B4:B9,"=Fruits",D4:D9)</f>
        <v>2000</v>
      </c>
    </row>
    <row r="7" spans="2:7" x14ac:dyDescent="0.3">
      <c r="B7" s="58"/>
      <c r="C7" s="71" t="s">
        <v>623</v>
      </c>
      <c r="D7" s="78">
        <v>400</v>
      </c>
    </row>
    <row r="8" spans="2:7" x14ac:dyDescent="0.3">
      <c r="B8" s="58" t="s">
        <v>618</v>
      </c>
      <c r="C8" s="71" t="s">
        <v>624</v>
      </c>
      <c r="D8" s="77">
        <v>4200</v>
      </c>
      <c r="F8" s="70" t="s">
        <v>627</v>
      </c>
      <c r="G8">
        <f>SUMIF(B4:B9,"",D4:D9)</f>
        <v>400</v>
      </c>
    </row>
    <row r="9" spans="2:7" x14ac:dyDescent="0.3">
      <c r="B9" s="57" t="s">
        <v>621</v>
      </c>
      <c r="C9" s="74" t="s">
        <v>625</v>
      </c>
      <c r="D9" s="80">
        <v>1200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Sheet1</vt:lpstr>
      <vt:lpstr>Sheet3</vt:lpstr>
      <vt:lpstr>Sheet4</vt:lpstr>
      <vt:lpstr>Sheet5</vt:lpstr>
      <vt:lpstr>Sheet2</vt:lpstr>
      <vt:lpstr>Category</vt:lpstr>
      <vt:lpstr>city</vt:lpstr>
      <vt:lpstr>discount</vt:lpstr>
      <vt:lpstr>payment_mode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2026-07-07T03:11:40Z</dcterms:modified>
</cp:coreProperties>
</file>